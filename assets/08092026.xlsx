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ăm 2026\Banhang-2026\"/>
    </mc:Choice>
  </mc:AlternateContent>
  <xr:revisionPtr revIDLastSave="0" documentId="13_ncr:1_{C5FE50DC-357A-48FF-BFA4-57C202754F03}" xr6:coauthVersionLast="47" xr6:coauthVersionMax="47" xr10:uidLastSave="{00000000-0000-0000-0000-000000000000}"/>
  <bookViews>
    <workbookView xWindow="-108" yWindow="-108" windowWidth="23256" windowHeight="12456" tabRatio="695" firstSheet="1" activeTab="7" xr2:uid="{163E734F-0DAD-4A3A-8CDB-EE49261FB6BD}"/>
  </bookViews>
  <sheets>
    <sheet name="HOADONMAU (2)" sheetId="3898" state="hidden" r:id="rId1"/>
    <sheet name="HOADONMAU" sheetId="3489" r:id="rId2"/>
    <sheet name="C.vank3" sheetId="4101" state="hidden" r:id="rId3"/>
    <sheet name="C.Thanh (2)" sheetId="4168" r:id="rId4"/>
    <sheet name="C.Quag" sheetId="4158" r:id="rId5"/>
    <sheet name="C.Quag (2)" sheetId="4171" r:id="rId6"/>
    <sheet name="A.Tuấn1" sheetId="4172" r:id="rId7"/>
    <sheet name="A.Tuấn1 (2)" sheetId="4173" r:id="rId8"/>
    <sheet name="A.Mạnh" sheetId="4167" r:id="rId9"/>
    <sheet name="MaNhaCungCap" sheetId="2" r:id="rId10"/>
    <sheet name="KhoSon" sheetId="3" r:id="rId11"/>
    <sheet name="mm" sheetId="3075" state="hidden" r:id="rId12"/>
    <sheet name="Sheet5" sheetId="2644" state="hidden" r:id="rId13"/>
    <sheet name="Aerobic" sheetId="4003" state="hidden" r:id="rId14"/>
    <sheet name="Xuyen0303" sheetId="228" state="hidden" r:id="rId15"/>
    <sheet name="Xuyen1905" sheetId="233" state="hidden" r:id="rId16"/>
    <sheet name="Sheet5 (2)" sheetId="2990" state="hidden" r:id="rId17"/>
    <sheet name="Home" sheetId="3392" r:id="rId18"/>
    <sheet name="Sheet5 (8)" sheetId="3765" r:id="rId19"/>
    <sheet name="Sheet5 (7)" sheetId="3853" r:id="rId20"/>
    <sheet name="Sheet1" sheetId="4170" r:id="rId21"/>
  </sheets>
  <definedNames>
    <definedName name="_xlnm._FilterDatabase" localSheetId="10" hidden="1">KhoSon!$B$2:$B$516</definedName>
    <definedName name="_xlnm._FilterDatabase" localSheetId="9" hidden="1">MaNhaCungCap!$D$1:$D$71</definedName>
    <definedName name="chitietbanhang" comment="Chi tiết bán hàng">#REF!</definedName>
    <definedName name="khoson" comment="Danh sách kho sơn">KhoSon!$B$2:$E$516</definedName>
    <definedName name="makhachhang" localSheetId="8">#REF!</definedName>
    <definedName name="makhachhang" localSheetId="6">#REF!</definedName>
    <definedName name="makhachhang" localSheetId="7">#REF!</definedName>
    <definedName name="makhachhang" localSheetId="4">#REF!</definedName>
    <definedName name="makhachhang" localSheetId="5">#REF!</definedName>
    <definedName name="makhachhang" localSheetId="3">#REF!</definedName>
    <definedName name="makhachhang" localSheetId="2">#REF!</definedName>
    <definedName name="makhachhang" localSheetId="1">#REF!</definedName>
    <definedName name="makhachhang" localSheetId="0">#REF!</definedName>
    <definedName name="makhachhang">#REF!</definedName>
    <definedName name="makhachthanhtoan">#REF!</definedName>
    <definedName name="MaNhaCungCap" comment="Danh sách mã nhà cung cấp">MaNhaCungCap!$C$5:$E$68</definedName>
    <definedName name="_xlnm.Print_Area" localSheetId="8">A.Mạnh!$A$1:$G$17</definedName>
    <definedName name="_xlnm.Print_Area" localSheetId="6">A.Tuấn1!$A$1:$G$17</definedName>
    <definedName name="_xlnm.Print_Area" localSheetId="7">'A.Tuấn1 (2)'!$A$1:$G$17</definedName>
    <definedName name="_xlnm.Print_Area" localSheetId="4">'C.Quag'!$A$1:$G$17</definedName>
    <definedName name="_xlnm.Print_Area" localSheetId="5">'C.Quag (2)'!$A$1:$G$17</definedName>
    <definedName name="_xlnm.Print_Area" localSheetId="3">'C.Thanh (2)'!$A$1:$G$18</definedName>
    <definedName name="_xlnm.Print_Area" localSheetId="2">'C.vank3'!$A$1:$G$21</definedName>
    <definedName name="_xlnm.Print_Area" localSheetId="1">HOADONMAU!$A$1:$G$19</definedName>
    <definedName name="_xlnm.Print_Area" localSheetId="0">'HOADONMAU (2)'!$A$1:$G$24</definedName>
    <definedName name="_xlnm.Print_Area" localSheetId="17">Home!$A$1:$J$11</definedName>
    <definedName name="_xlnm.Print_Area" localSheetId="18">'Sheet5 (8)'!$A$1:$I$11</definedName>
    <definedName name="sotienthanhtoan">#REF!</definedName>
    <definedName name="thanhtie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1" i="4173" l="1"/>
  <c r="G12" i="4173" s="1"/>
  <c r="G13" i="4173" s="1"/>
  <c r="D11" i="4173"/>
  <c r="C11" i="4173"/>
  <c r="A3" i="4173"/>
  <c r="G11" i="4172"/>
  <c r="G12" i="4172" s="1"/>
  <c r="G13" i="4172" s="1"/>
  <c r="D11" i="4172"/>
  <c r="C11" i="4172"/>
  <c r="A3" i="4172"/>
  <c r="G12" i="4168"/>
  <c r="D12" i="4168"/>
  <c r="C12" i="4168"/>
  <c r="G11" i="4171"/>
  <c r="G12" i="4171" s="1"/>
  <c r="G13" i="4171" s="1"/>
  <c r="D11" i="4171"/>
  <c r="C11" i="4171"/>
  <c r="A3" i="4171"/>
  <c r="G11" i="4168"/>
  <c r="D11" i="4168"/>
  <c r="C11" i="4168"/>
  <c r="A3" i="4168"/>
  <c r="G11" i="4167"/>
  <c r="G12" i="4167" s="1"/>
  <c r="G13" i="4167" s="1"/>
  <c r="D11" i="4167"/>
  <c r="C11" i="4167"/>
  <c r="A3" i="4167"/>
  <c r="G11" i="4158"/>
  <c r="G12" i="4158" s="1"/>
  <c r="G13" i="4158" s="1"/>
  <c r="D11" i="4158"/>
  <c r="C11" i="4158"/>
  <c r="A3" i="4158"/>
  <c r="C15" i="4101"/>
  <c r="D15" i="4101"/>
  <c r="F15" i="4101"/>
  <c r="G15" i="4101" s="1"/>
  <c r="A3" i="4101"/>
  <c r="G13" i="4168" l="1"/>
  <c r="G14" i="4168" s="1"/>
  <c r="C14" i="4101"/>
  <c r="F13" i="4101"/>
  <c r="G13" i="4101" s="1"/>
  <c r="D13" i="4101"/>
  <c r="C13" i="4101"/>
  <c r="F12" i="4101"/>
  <c r="G12" i="4101" s="1"/>
  <c r="D12" i="4101"/>
  <c r="F11" i="4101"/>
  <c r="G11" i="4101" s="1"/>
  <c r="C11" i="4101"/>
  <c r="D14" i="4101"/>
  <c r="C12" i="4101"/>
  <c r="D11" i="4101"/>
  <c r="F14" i="4101"/>
  <c r="G14" i="4101" s="1"/>
  <c r="G16" i="4101" l="1"/>
  <c r="G17" i="4101" s="1"/>
  <c r="F17" i="3898"/>
  <c r="G17" i="3898" s="1"/>
  <c r="D17" i="3898"/>
  <c r="C17" i="3898"/>
  <c r="C14" i="3898"/>
  <c r="D14" i="3898"/>
  <c r="F14" i="3898"/>
  <c r="G14" i="3898" s="1"/>
  <c r="C15" i="3898"/>
  <c r="D15" i="3898"/>
  <c r="F15" i="3898"/>
  <c r="G15" i="3898" s="1"/>
  <c r="C16" i="3898"/>
  <c r="D16" i="3898"/>
  <c r="F16" i="3898"/>
  <c r="G16" i="3898" s="1"/>
  <c r="C18" i="3898"/>
  <c r="D18" i="3898"/>
  <c r="F18" i="3898"/>
  <c r="G18" i="3898" s="1"/>
  <c r="F13" i="3898"/>
  <c r="G13" i="3898" s="1"/>
  <c r="D13" i="3898"/>
  <c r="C13" i="3898"/>
  <c r="F12" i="3898"/>
  <c r="G12" i="3898" s="1"/>
  <c r="D12" i="3898"/>
  <c r="C12" i="3898"/>
  <c r="F11" i="3898"/>
  <c r="G11" i="3898" s="1"/>
  <c r="D11" i="3898"/>
  <c r="C11" i="3898"/>
  <c r="A3" i="3898"/>
  <c r="G19" i="3898" l="1"/>
  <c r="G20" i="3898" s="1"/>
  <c r="F13" i="3489" l="1"/>
  <c r="G13" i="3489" s="1"/>
  <c r="C13" i="3489"/>
  <c r="C12" i="3489"/>
  <c r="D13" i="3489"/>
  <c r="F12" i="3489"/>
  <c r="G12" i="3489" s="1"/>
  <c r="D12" i="3489"/>
  <c r="F11" i="3489" l="1"/>
  <c r="G11" i="3489" s="1"/>
  <c r="G14" i="3489" s="1"/>
  <c r="D11" i="3489"/>
  <c r="C11" i="3489"/>
  <c r="A3" i="3489"/>
  <c r="G15" i="3489" l="1"/>
  <c r="J31" i="2" l="1"/>
  <c r="C467" i="3" l="1"/>
  <c r="I3" i="233" l="1"/>
  <c r="I24" i="233" s="1"/>
  <c r="I26" i="233" s="1"/>
  <c r="F3" i="233"/>
  <c r="D3" i="233"/>
  <c r="I8" i="228"/>
  <c r="I9" i="228" s="1"/>
  <c r="I10" i="228" s="1"/>
  <c r="A71" i="2"/>
  <c r="A6" i="2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50" i="2" s="1"/>
  <c r="A51" i="2" s="1"/>
</calcChain>
</file>

<file path=xl/sharedStrings.xml><?xml version="1.0" encoding="utf-8"?>
<sst xmlns="http://schemas.openxmlformats.org/spreadsheetml/2006/main" count="2353" uniqueCount="1292">
  <si>
    <t>Ngày tháng</t>
  </si>
  <si>
    <t>Diễn giải</t>
  </si>
  <si>
    <t>Mã hàng hóa</t>
  </si>
  <si>
    <t>Mặt hàng</t>
  </si>
  <si>
    <t>Đơn vị tính</t>
  </si>
  <si>
    <t>Số lượng</t>
  </si>
  <si>
    <t>Thành tiền</t>
  </si>
  <si>
    <t>Ghi chú</t>
  </si>
  <si>
    <t>Mã nhà cung cấp</t>
  </si>
  <si>
    <t>Ngày lập</t>
  </si>
  <si>
    <t>Người lập</t>
  </si>
  <si>
    <t>STT</t>
  </si>
  <si>
    <t>Tên người cung cấp</t>
  </si>
  <si>
    <t>Số điện thoại</t>
  </si>
  <si>
    <t>Thai</t>
  </si>
  <si>
    <t>Anh Thái</t>
  </si>
  <si>
    <t>Hoa</t>
  </si>
  <si>
    <t>Anh Hòa</t>
  </si>
  <si>
    <t>Quang</t>
  </si>
  <si>
    <t>Anh Quảng</t>
  </si>
  <si>
    <t>Nha</t>
  </si>
  <si>
    <t>Anh Nha</t>
  </si>
  <si>
    <t>Ha</t>
  </si>
  <si>
    <t>Chị Hà</t>
  </si>
  <si>
    <t>Huong</t>
  </si>
  <si>
    <t>Chị Hương</t>
  </si>
  <si>
    <t>Tuyen</t>
  </si>
  <si>
    <t>Anh Tuyên</t>
  </si>
  <si>
    <t>Tuyet</t>
  </si>
  <si>
    <t>Ha_NamDinh</t>
  </si>
  <si>
    <t>Anh Hà Nam Định</t>
  </si>
  <si>
    <t>Anh Thuật</t>
  </si>
  <si>
    <t>Thuat</t>
  </si>
  <si>
    <t>Van</t>
  </si>
  <si>
    <t>Chị Vân</t>
  </si>
  <si>
    <t>Hien</t>
  </si>
  <si>
    <t>Chị Tuyết</t>
  </si>
  <si>
    <t>Anh Hiền</t>
  </si>
  <si>
    <t>Xuyen</t>
  </si>
  <si>
    <t>Anh Xuyền</t>
  </si>
  <si>
    <t>Hai</t>
  </si>
  <si>
    <t>Anh Hải</t>
  </si>
  <si>
    <t>Phuong</t>
  </si>
  <si>
    <t>Anh Phương</t>
  </si>
  <si>
    <t>Thanh</t>
  </si>
  <si>
    <t>Chị Thanh</t>
  </si>
  <si>
    <t>Hong</t>
  </si>
  <si>
    <t>Chị Hồng</t>
  </si>
  <si>
    <t>Linh</t>
  </si>
  <si>
    <t>Anh Linh</t>
  </si>
  <si>
    <t>Binh</t>
  </si>
  <si>
    <t>Chị Bình</t>
  </si>
  <si>
    <t>Quyet</t>
  </si>
  <si>
    <t>Anh Quyết</t>
  </si>
  <si>
    <t>Thang</t>
  </si>
  <si>
    <t>Anh Thắng</t>
  </si>
  <si>
    <t>Loại</t>
  </si>
  <si>
    <t>Loại 1</t>
  </si>
  <si>
    <t>Loại 2</t>
  </si>
  <si>
    <t>Hoan</t>
  </si>
  <si>
    <t>Anh Hoàn</t>
  </si>
  <si>
    <t>Chieu</t>
  </si>
  <si>
    <t>Chú Chiêu</t>
  </si>
  <si>
    <t>Hau</t>
  </si>
  <si>
    <t>Chị Hậu</t>
  </si>
  <si>
    <t>Giang</t>
  </si>
  <si>
    <t>Anh Giang</t>
  </si>
  <si>
    <t>Nghi</t>
  </si>
  <si>
    <t>Anh Nghị</t>
  </si>
  <si>
    <t>Anh Thành</t>
  </si>
  <si>
    <t>Thu</t>
  </si>
  <si>
    <t>Cô Thu</t>
  </si>
  <si>
    <t>Cuong</t>
  </si>
  <si>
    <t>Anh Cường</t>
  </si>
  <si>
    <t>0904747252</t>
  </si>
  <si>
    <t>0</t>
  </si>
  <si>
    <t>0985740850</t>
  </si>
  <si>
    <t>0982609741</t>
  </si>
  <si>
    <t>0976608088</t>
  </si>
  <si>
    <t>0948766824</t>
  </si>
  <si>
    <t>0987893326</t>
  </si>
  <si>
    <t>01669402733</t>
  </si>
  <si>
    <t>0904776572</t>
  </si>
  <si>
    <t>01678988261</t>
  </si>
  <si>
    <t>0904975982</t>
  </si>
  <si>
    <t>0935433588</t>
  </si>
  <si>
    <t>0904281770</t>
  </si>
  <si>
    <t>0988622215</t>
  </si>
  <si>
    <t>01674853565</t>
  </si>
  <si>
    <t>0984272477</t>
  </si>
  <si>
    <t>0973359594</t>
  </si>
  <si>
    <t>PU trắng</t>
  </si>
  <si>
    <t>PU vàng chanh</t>
  </si>
  <si>
    <t>PU vàng cam</t>
  </si>
  <si>
    <t>PU xanh lá cây</t>
  </si>
  <si>
    <t>PU đỏ tươi</t>
  </si>
  <si>
    <t>PU đỏ cánh sen</t>
  </si>
  <si>
    <t>Sơn màu ( các loại), sơn pha</t>
  </si>
  <si>
    <t>Cứng PU</t>
  </si>
  <si>
    <t>Cứng bóng thường</t>
  </si>
  <si>
    <t>Cứng bóng trắng chống ngả màu</t>
  </si>
  <si>
    <t>Cứng mờ 50</t>
  </si>
  <si>
    <t>Tinh màu đen nước</t>
  </si>
  <si>
    <t>Tinh màu đỏ nước</t>
  </si>
  <si>
    <t>Tinh màu vàng nước</t>
  </si>
  <si>
    <t>Tinh màu xanh green nước</t>
  </si>
  <si>
    <t>Tinh màu đặc đỏ cánh sen</t>
  </si>
  <si>
    <t>Tinh màu đặc đỏ tươi</t>
  </si>
  <si>
    <t>Tinh màu đặc PU vàng chanh</t>
  </si>
  <si>
    <t>Tinh màu đặc vàng cam</t>
  </si>
  <si>
    <t>Tinh màu đặc xanh nước biển</t>
  </si>
  <si>
    <t>Tinh màu đặc xanh lá cây</t>
  </si>
  <si>
    <t>Ma</t>
  </si>
  <si>
    <t>Tên sơn</t>
  </si>
  <si>
    <t>Gía bán</t>
  </si>
  <si>
    <t>101-A</t>
  </si>
  <si>
    <t>107-A</t>
  </si>
  <si>
    <t>1HB</t>
  </si>
  <si>
    <t>1101-A</t>
  </si>
  <si>
    <t>1101-B</t>
  </si>
  <si>
    <t>1102-A</t>
  </si>
  <si>
    <t>Sơn phủ mờ 50</t>
  </si>
  <si>
    <t>1102-B</t>
  </si>
  <si>
    <t>S1101-B</t>
  </si>
  <si>
    <t>S1101-WB</t>
  </si>
  <si>
    <t>TM.Den</t>
  </si>
  <si>
    <t>TM.Do</t>
  </si>
  <si>
    <t>TM.Vang</t>
  </si>
  <si>
    <t>TM.Bule</t>
  </si>
  <si>
    <t>TM.Green</t>
  </si>
  <si>
    <t>Bán hàng</t>
  </si>
  <si>
    <t>Kg</t>
  </si>
  <si>
    <t>DonViTinh</t>
  </si>
  <si>
    <t>Đơn giá</t>
  </si>
  <si>
    <t>Xăng</t>
  </si>
  <si>
    <t>Xang</t>
  </si>
  <si>
    <t>Sơn phủ bóng thường</t>
  </si>
  <si>
    <t>MauCom</t>
  </si>
  <si>
    <t>Mầu cốm</t>
  </si>
  <si>
    <t>MauNau476</t>
  </si>
  <si>
    <t>Mầu nâu 476</t>
  </si>
  <si>
    <t>HopNhuaTo</t>
  </si>
  <si>
    <t>Hộp nhựa to</t>
  </si>
  <si>
    <t>Hộp</t>
  </si>
  <si>
    <t>CamThuong</t>
  </si>
  <si>
    <t>Sơn pha cam thường</t>
  </si>
  <si>
    <t>PhaHong2395C</t>
  </si>
  <si>
    <t>Sơn pha hồng 2395C</t>
  </si>
  <si>
    <t>NhuBac</t>
  </si>
  <si>
    <t>Nhũ bạc</t>
  </si>
  <si>
    <t>NhuVang</t>
  </si>
  <si>
    <t>Nhũ vàng</t>
  </si>
  <si>
    <t>BacChi</t>
  </si>
  <si>
    <t>Tinh mầu bạc chì</t>
  </si>
  <si>
    <t>Hộp nhựa nhỏ</t>
  </si>
  <si>
    <t>HopNhuaNho</t>
  </si>
  <si>
    <t>Sơn pha xanh 325C</t>
  </si>
  <si>
    <t>Sơn pha xanh 368C</t>
  </si>
  <si>
    <t>SonPhaXanh325</t>
  </si>
  <si>
    <t>SonPhaXanh368</t>
  </si>
  <si>
    <t>SonPhaCam712</t>
  </si>
  <si>
    <t>Sơn pha cam 712C</t>
  </si>
  <si>
    <t>SonPhaXanh580</t>
  </si>
  <si>
    <t>Sơn pha xanh 580C</t>
  </si>
  <si>
    <t>DoDam</t>
  </si>
  <si>
    <t>Đỏ đậm</t>
  </si>
  <si>
    <t>Nhũ trắng</t>
  </si>
  <si>
    <t>Giay</t>
  </si>
  <si>
    <t>HatNhu</t>
  </si>
  <si>
    <t>Nhũ trắng hạt mịn</t>
  </si>
  <si>
    <t>Hat nhũ trắng cánh to</t>
  </si>
  <si>
    <t>TM.DoTuoi</t>
  </si>
  <si>
    <t>SonPhaXanh390C</t>
  </si>
  <si>
    <t>Sơn pha xanh 390C</t>
  </si>
  <si>
    <t>kg</t>
  </si>
  <si>
    <t>HatNhuaCanhTo</t>
  </si>
  <si>
    <t>NhuKho</t>
  </si>
  <si>
    <t>NhuGol</t>
  </si>
  <si>
    <t>Nhũ Gol</t>
  </si>
  <si>
    <t>Dang</t>
  </si>
  <si>
    <t>Anh Đăng</t>
  </si>
  <si>
    <t>TM.BacVang</t>
  </si>
  <si>
    <t>Tinh mầu bạc vàng</t>
  </si>
  <si>
    <t>SonPhaNau476</t>
  </si>
  <si>
    <t>Sơn pha nâu 476</t>
  </si>
  <si>
    <t>SonPhaXanh3258</t>
  </si>
  <si>
    <t>Sơn pha xanh 3258</t>
  </si>
  <si>
    <t>SonPhaAmdudo1</t>
  </si>
  <si>
    <t>Sơn pha Amdu đỏ 1</t>
  </si>
  <si>
    <t>SonPhaAmdudo2</t>
  </si>
  <si>
    <t>SonPhaAmdudo3</t>
  </si>
  <si>
    <t>Sơn pha Amdu đỏ 2</t>
  </si>
  <si>
    <t>Sơn pha Amdu đỏ 3</t>
  </si>
  <si>
    <t>SonPhaAmdudoCam</t>
  </si>
  <si>
    <t>Sơn pha Amdu cam</t>
  </si>
  <si>
    <t>Giấy gói hàng</t>
  </si>
  <si>
    <t>NhuTrang</t>
  </si>
  <si>
    <t>Sơn pha 5035</t>
  </si>
  <si>
    <t>AnhThanh</t>
  </si>
  <si>
    <t>Giám đốc</t>
  </si>
  <si>
    <t>Mầu 729</t>
  </si>
  <si>
    <t>Mầu Cool Gray 8C</t>
  </si>
  <si>
    <t>TM.Hong</t>
  </si>
  <si>
    <t>Tinh màu hồng</t>
  </si>
  <si>
    <t>TM.VangKhayNho</t>
  </si>
  <si>
    <t>Tinh màu vàng khay nhỏ</t>
  </si>
  <si>
    <t>SonPha405C</t>
  </si>
  <si>
    <t>Sơn pha 405C</t>
  </si>
  <si>
    <t>SonPha536C</t>
  </si>
  <si>
    <t>SonPha403C</t>
  </si>
  <si>
    <t>Sơn pha 403C</t>
  </si>
  <si>
    <t>Sơn pha 536C</t>
  </si>
  <si>
    <t>Tinh màu cốm</t>
  </si>
  <si>
    <t>TM.Com</t>
  </si>
  <si>
    <t>CoolGay11C</t>
  </si>
  <si>
    <t>SonPha692</t>
  </si>
  <si>
    <t>SonPha600</t>
  </si>
  <si>
    <t>SonPha502C</t>
  </si>
  <si>
    <t>Sơn pha 502C</t>
  </si>
  <si>
    <t>SonPha344C</t>
  </si>
  <si>
    <t>Sơn pha 344C</t>
  </si>
  <si>
    <t>SonPha716C</t>
  </si>
  <si>
    <t>Sơn pha 716C</t>
  </si>
  <si>
    <t xml:space="preserve">  </t>
  </si>
  <si>
    <t>ComTuoi19C</t>
  </si>
  <si>
    <t>Cốm tươi 19C</t>
  </si>
  <si>
    <t>Loai 2</t>
  </si>
  <si>
    <t>VuVanThang</t>
  </si>
  <si>
    <t>Vũ Văn Thắng</t>
  </si>
  <si>
    <t>0975156335</t>
  </si>
  <si>
    <t>CaoVanVuong</t>
  </si>
  <si>
    <t>Cao Văn Vương</t>
  </si>
  <si>
    <t>SonPhaXanh623C</t>
  </si>
  <si>
    <t>Sơn pha xanh 623C</t>
  </si>
  <si>
    <t>SonPha5415C</t>
  </si>
  <si>
    <t>Sơn Pha 5415C</t>
  </si>
  <si>
    <t>TM.Tim</t>
  </si>
  <si>
    <t>Tinh màu tím</t>
  </si>
  <si>
    <t>TM.Vang1</t>
  </si>
  <si>
    <t>Tinh màu vàng</t>
  </si>
  <si>
    <t>Vang 12C</t>
  </si>
  <si>
    <t>Vàng 12C</t>
  </si>
  <si>
    <t>Do187</t>
  </si>
  <si>
    <t>Đỏ 187</t>
  </si>
  <si>
    <t xml:space="preserve"> </t>
  </si>
  <si>
    <t>Kien</t>
  </si>
  <si>
    <t>Anh Kiên</t>
  </si>
  <si>
    <t>Dao</t>
  </si>
  <si>
    <t>Vũ Anh Đào</t>
  </si>
  <si>
    <t>Com390C</t>
  </si>
  <si>
    <t>Cốm 390C</t>
  </si>
  <si>
    <t>Màu Cool Gray 2C</t>
  </si>
  <si>
    <t>Nguyễn Minh Lượng</t>
  </si>
  <si>
    <t>Luong</t>
  </si>
  <si>
    <t>SonPha2334C</t>
  </si>
  <si>
    <t>Sơn Pha 2334C</t>
  </si>
  <si>
    <t>ChiHuong</t>
  </si>
  <si>
    <t>Nguyễn Thu Hường</t>
  </si>
  <si>
    <t>SonPha332C</t>
  </si>
  <si>
    <t>Sơn Pha 332C</t>
  </si>
  <si>
    <t>Do193</t>
  </si>
  <si>
    <t>Đỏ 193</t>
  </si>
  <si>
    <t>Maughi</t>
  </si>
  <si>
    <t>Màu Ghi</t>
  </si>
  <si>
    <t>Decal</t>
  </si>
  <si>
    <t>Sơn pha 638C</t>
  </si>
  <si>
    <t>SonPha638C</t>
  </si>
  <si>
    <t>TM.VangNguyenLa</t>
  </si>
  <si>
    <t>Tinh màu vàng nguyên lá</t>
  </si>
  <si>
    <t>ChiVan</t>
  </si>
  <si>
    <t>Nguyễn Thị Vân</t>
  </si>
  <si>
    <t>Loai 3</t>
  </si>
  <si>
    <t>CoolGray3C</t>
  </si>
  <si>
    <t>Màu Cool Gray 3C</t>
  </si>
  <si>
    <t>TM.Đen</t>
  </si>
  <si>
    <t>Tinh màu đen</t>
  </si>
  <si>
    <t>BacMen</t>
  </si>
  <si>
    <t>Bác Mến</t>
  </si>
  <si>
    <t>LanPhuong</t>
  </si>
  <si>
    <t>Lan Phương</t>
  </si>
  <si>
    <t>CoolGray534C</t>
  </si>
  <si>
    <t>Cool Gray 534C</t>
  </si>
  <si>
    <t>WarmGray2C</t>
  </si>
  <si>
    <t>SonPha218C</t>
  </si>
  <si>
    <t>SonPha217C</t>
  </si>
  <si>
    <t>Sơn pha 218C</t>
  </si>
  <si>
    <t>Sơn pha 217C</t>
  </si>
  <si>
    <t>SonPha568C</t>
  </si>
  <si>
    <t>Sơn pha 568C</t>
  </si>
  <si>
    <t>TM.ĐoTuoi</t>
  </si>
  <si>
    <t>Tinh màu đỏ</t>
  </si>
  <si>
    <t>SonPha539C</t>
  </si>
  <si>
    <t>Sơn pha 539C</t>
  </si>
  <si>
    <t>SonPha467C</t>
  </si>
  <si>
    <t>Sơn pha 467C</t>
  </si>
  <si>
    <t>SonPha566C</t>
  </si>
  <si>
    <t>Sơn pha 566C</t>
  </si>
  <si>
    <t>SonPha604C</t>
  </si>
  <si>
    <t>Sơn pha 604C</t>
  </si>
  <si>
    <t>SonPha404C</t>
  </si>
  <si>
    <t>Sơn pha 404C</t>
  </si>
  <si>
    <t>SonPha561C</t>
  </si>
  <si>
    <t>Sơn pha 561C</t>
  </si>
  <si>
    <t>SonPha282C</t>
  </si>
  <si>
    <t>Sơn Pha 282C</t>
  </si>
  <si>
    <t>VanAnh</t>
  </si>
  <si>
    <t>Vân Anh</t>
  </si>
  <si>
    <t>SonPha573C</t>
  </si>
  <si>
    <t>Sơn pha 573C</t>
  </si>
  <si>
    <t>SonPha648C</t>
  </si>
  <si>
    <t>Sơn pha 648C</t>
  </si>
  <si>
    <t>SonPha337C</t>
  </si>
  <si>
    <t>Sơn pha 337C</t>
  </si>
  <si>
    <t>SonPha7620C</t>
  </si>
  <si>
    <t>Sơn Pha 7620C</t>
  </si>
  <si>
    <t>AnhBay</t>
  </si>
  <si>
    <t>Anh Bảy</t>
  </si>
  <si>
    <t>Vang 100C</t>
  </si>
  <si>
    <t>Vàng 100C</t>
  </si>
  <si>
    <t>ChiNga</t>
  </si>
  <si>
    <t>Chị Nga</t>
  </si>
  <si>
    <t>SonPha5035</t>
  </si>
  <si>
    <t>PU xanh blue T</t>
  </si>
  <si>
    <t>SonPha7545C</t>
  </si>
  <si>
    <t>Tổng cộng</t>
  </si>
  <si>
    <t>Trang(VienLotTron)</t>
  </si>
  <si>
    <t>Trắng (viền lót tròn)</t>
  </si>
  <si>
    <t>SonPha293C</t>
  </si>
  <si>
    <t>Sơn Pha 293C</t>
  </si>
  <si>
    <t>SonPha408C</t>
  </si>
  <si>
    <t>Sơn Pha 408C</t>
  </si>
  <si>
    <t>SonPha533C</t>
  </si>
  <si>
    <t>Sơn pha 533C</t>
  </si>
  <si>
    <t>021C</t>
  </si>
  <si>
    <t>Mầu Cool Gray 7C</t>
  </si>
  <si>
    <t>AnhBinh</t>
  </si>
  <si>
    <t>Anh Bình</t>
  </si>
  <si>
    <t>NguyenHongThai</t>
  </si>
  <si>
    <t>Hồng Thái</t>
  </si>
  <si>
    <t>SonPha5493C</t>
  </si>
  <si>
    <t>Sơn Pha 5493C</t>
  </si>
  <si>
    <t>SonPha7597C</t>
  </si>
  <si>
    <t>SonPha7464C</t>
  </si>
  <si>
    <t>Sơn Pha 7464C</t>
  </si>
  <si>
    <t>Nhũ khô trắng</t>
  </si>
  <si>
    <t>BacVang</t>
  </si>
  <si>
    <t>Bạc Vàng</t>
  </si>
  <si>
    <t>SonPha523C</t>
  </si>
  <si>
    <t>Sơn pha 523C</t>
  </si>
  <si>
    <t>Người lập phiếu</t>
  </si>
  <si>
    <t>Người  nhận</t>
  </si>
  <si>
    <t>SonPha7455C</t>
  </si>
  <si>
    <t>SonPha226C</t>
  </si>
  <si>
    <t>Sơn pha 226C</t>
  </si>
  <si>
    <t>SonPha374C</t>
  </si>
  <si>
    <t>Sơn pha 374C</t>
  </si>
  <si>
    <t>CoolGray10C</t>
  </si>
  <si>
    <t>Màu Cool Gray 10C</t>
  </si>
  <si>
    <t>AnhThe</t>
  </si>
  <si>
    <t>Anh Thế</t>
  </si>
  <si>
    <t>SonPha400C</t>
  </si>
  <si>
    <t>Sơn Pha 400C</t>
  </si>
  <si>
    <t>SonPha7536C</t>
  </si>
  <si>
    <t>Sơn pha 7536C</t>
  </si>
  <si>
    <t>Sơn pha 7545C</t>
  </si>
  <si>
    <t>SonPha2757C</t>
  </si>
  <si>
    <t>Sơn pha 2757C</t>
  </si>
  <si>
    <t>SonPha435C</t>
  </si>
  <si>
    <t>Sơn pha 435C</t>
  </si>
  <si>
    <t>SonPha414C</t>
  </si>
  <si>
    <t>Sơn pha 414C</t>
  </si>
  <si>
    <t>SonPha5595C</t>
  </si>
  <si>
    <t>Sơn pha 5595C</t>
  </si>
  <si>
    <t>SonPha240C</t>
  </si>
  <si>
    <t>Sơn pha 240C</t>
  </si>
  <si>
    <t>SonPha298C</t>
  </si>
  <si>
    <t>Sơn pha 298C</t>
  </si>
  <si>
    <t>MinhCanh</t>
  </si>
  <si>
    <t>Minh Cảnh</t>
  </si>
  <si>
    <t>ChuKhoi</t>
  </si>
  <si>
    <t>Chú Khôi</t>
  </si>
  <si>
    <t>ChiLe</t>
  </si>
  <si>
    <t>Chị Lệ</t>
  </si>
  <si>
    <t>NguyenVanPhuong</t>
  </si>
  <si>
    <t>Nguyễn Văn Phương</t>
  </si>
  <si>
    <t>TM.vanglotdia</t>
  </si>
  <si>
    <t>Tinh màu vàng lót đĩa</t>
  </si>
  <si>
    <t>AnhHanh</t>
  </si>
  <si>
    <t>Anh Hạnh</t>
  </si>
  <si>
    <t>SonPha7699C</t>
  </si>
  <si>
    <t>Sơn pha 7699C</t>
  </si>
  <si>
    <t>SonPha7653C</t>
  </si>
  <si>
    <t>Sơn pha 7653C</t>
  </si>
  <si>
    <t>SonPha5565C</t>
  </si>
  <si>
    <t>Sơn pha 5565C</t>
  </si>
  <si>
    <t>SonPha124C</t>
  </si>
  <si>
    <t>Sơn pha 124C</t>
  </si>
  <si>
    <t>SonPha424C</t>
  </si>
  <si>
    <t>Sơn pha 424C</t>
  </si>
  <si>
    <t>VuVietAnh</t>
  </si>
  <si>
    <t>Công Ty Vũ Việt Anh</t>
  </si>
  <si>
    <t>AnhThao</t>
  </si>
  <si>
    <t>Anh Thạo</t>
  </si>
  <si>
    <t>SonPha505C</t>
  </si>
  <si>
    <t>Sơn pha 505C</t>
  </si>
  <si>
    <t>SonPha5473C</t>
  </si>
  <si>
    <t>Sơn pha 5473C</t>
  </si>
  <si>
    <t>SonPha534C</t>
  </si>
  <si>
    <t>Sơn pha 534C</t>
  </si>
  <si>
    <t>SonPha7523C</t>
  </si>
  <si>
    <t>Sơn pha 7523C</t>
  </si>
  <si>
    <t>SonPha7592C</t>
  </si>
  <si>
    <t>Sơn pha 7592C</t>
  </si>
  <si>
    <t>SonPha7616C</t>
  </si>
  <si>
    <t>Sơn pha 7616C</t>
  </si>
  <si>
    <t>SonPha5753C</t>
  </si>
  <si>
    <t>Sơn pha 5753C</t>
  </si>
  <si>
    <t>CoolGay11CNHAT</t>
  </si>
  <si>
    <t>Mầu Cool Gray 11C NHẠT</t>
  </si>
  <si>
    <t>SonPha417C</t>
  </si>
  <si>
    <t>Sơn pha 417C</t>
  </si>
  <si>
    <t>SonPha5185C</t>
  </si>
  <si>
    <t>Sơn pha 5185C</t>
  </si>
  <si>
    <t>SonPha416C</t>
  </si>
  <si>
    <t>Sơn pha 416C</t>
  </si>
  <si>
    <t>12-TPX0704</t>
  </si>
  <si>
    <t>12-TPX0704(sơn pha màu)</t>
  </si>
  <si>
    <t>SonPha7499C</t>
  </si>
  <si>
    <t>12-TPX6208</t>
  </si>
  <si>
    <t>12-TPX6208(sơn pha màu)</t>
  </si>
  <si>
    <t>12-TPX5206</t>
  </si>
  <si>
    <t>12-TPX5206(sơn pha màu)</t>
  </si>
  <si>
    <t>SonPha7474C</t>
  </si>
  <si>
    <t>Sơn Pha 7474C</t>
  </si>
  <si>
    <t>Chị Tình</t>
  </si>
  <si>
    <t>Tinh</t>
  </si>
  <si>
    <t>HoangVanQuang</t>
  </si>
  <si>
    <t>Hoàng Văn Quảng</t>
  </si>
  <si>
    <t>Mầu Cool Gray 11C ĐẬM</t>
  </si>
  <si>
    <t>SonPha7473</t>
  </si>
  <si>
    <t>SonPha7424</t>
  </si>
  <si>
    <t>Sơn Pha 7473C</t>
  </si>
  <si>
    <t>Sơn Pha 7424C</t>
  </si>
  <si>
    <t>AnhVinh</t>
  </si>
  <si>
    <t>Anh Vinh</t>
  </si>
  <si>
    <t>SonPha128C</t>
  </si>
  <si>
    <t>Sơn pha 128C</t>
  </si>
  <si>
    <t>AnhDung</t>
  </si>
  <si>
    <t>Anh Dung</t>
  </si>
  <si>
    <t>SonPha44/094C</t>
  </si>
  <si>
    <t>SonPha31/011C</t>
  </si>
  <si>
    <t>SonPha48/008C</t>
  </si>
  <si>
    <t>Sơn Pha 44/094C</t>
  </si>
  <si>
    <t>Sơn Pha 31/011C</t>
  </si>
  <si>
    <t>Sơn Pha 48/008C</t>
  </si>
  <si>
    <t>SonPha661C</t>
  </si>
  <si>
    <t>Sơn pha 661C</t>
  </si>
  <si>
    <t>NguyenPhuong</t>
  </si>
  <si>
    <t>Nguyễn Phương</t>
  </si>
  <si>
    <t>SonPha2234C</t>
  </si>
  <si>
    <t>Sơn Pha 2234C</t>
  </si>
  <si>
    <t>SonPha564C</t>
  </si>
  <si>
    <t>Sơn pha 564C</t>
  </si>
  <si>
    <t>CTyTrungPhuong</t>
  </si>
  <si>
    <t>Cty Trung Phương</t>
  </si>
  <si>
    <t>SonPha7633C</t>
  </si>
  <si>
    <t>Sơn pha 7633C</t>
  </si>
  <si>
    <t>TM.NauThaisung</t>
  </si>
  <si>
    <t>Tinh màu nâu Thái Sung</t>
  </si>
  <si>
    <t>Tuan</t>
  </si>
  <si>
    <t>Đỗ Mạnh Tuấn</t>
  </si>
  <si>
    <t>SonPha7612C</t>
  </si>
  <si>
    <t>Sơn pha 7612C</t>
  </si>
  <si>
    <t>Mauphalotchidam</t>
  </si>
  <si>
    <t>Màu lót chỉ đậm</t>
  </si>
  <si>
    <t>ChiHanh</t>
  </si>
  <si>
    <t>Chị Hạnh</t>
  </si>
  <si>
    <t>Nguyễn Thị Hiền</t>
  </si>
  <si>
    <t>NguyenHien</t>
  </si>
  <si>
    <t>SonPha437C</t>
  </si>
  <si>
    <t>Sơn pha 437C</t>
  </si>
  <si>
    <t>SonPha4655C</t>
  </si>
  <si>
    <t>Sơn pha 4655C</t>
  </si>
  <si>
    <t>SonPha2306C</t>
  </si>
  <si>
    <t>Sơn pha 2306C</t>
  </si>
  <si>
    <t>Tinh màu xanh blue</t>
  </si>
  <si>
    <t>Cndenmo</t>
  </si>
  <si>
    <t>Chân nhựa đen mờ mới</t>
  </si>
  <si>
    <t>Cái</t>
  </si>
  <si>
    <t>TongThiPhuong</t>
  </si>
  <si>
    <t>Tống Thị Phương</t>
  </si>
  <si>
    <t>SonPha202C</t>
  </si>
  <si>
    <t>Sơn Pha 202C</t>
  </si>
  <si>
    <t>Sơn Pha 7618C</t>
  </si>
  <si>
    <t>SonPha7618</t>
  </si>
  <si>
    <t>SonPha7643</t>
  </si>
  <si>
    <t>Sơn Pha 7643C</t>
  </si>
  <si>
    <t>SonPha2224C</t>
  </si>
  <si>
    <t>Sơn Pha 2224C</t>
  </si>
  <si>
    <t>SonPha7406C</t>
  </si>
  <si>
    <t>Sơn Pha 7406C</t>
  </si>
  <si>
    <t>0912134452</t>
  </si>
  <si>
    <t>Nguyenvantuoihien@gmail.com</t>
  </si>
  <si>
    <t>Địa Chỉ</t>
  </si>
  <si>
    <t>Dân Hòa-Thanh Oai-Hà Nội</t>
  </si>
  <si>
    <t>SỔ CHI TIẾT BÁN HÀNG
 NĂM 2017</t>
  </si>
  <si>
    <t xml:space="preserve">0904556461 </t>
  </si>
  <si>
    <t>0902291138</t>
  </si>
  <si>
    <t>Tranthang</t>
  </si>
  <si>
    <t>Trần Thắng</t>
  </si>
  <si>
    <t>0968538394</t>
  </si>
  <si>
    <t>Còn nợ đến ngày 03/03/2017:</t>
  </si>
  <si>
    <t>Trừ tiền sơn ngày 03/03/2016:</t>
  </si>
  <si>
    <t>Xop2F</t>
  </si>
  <si>
    <t>Xốp 2F đặc</t>
  </si>
  <si>
    <t>Tấm</t>
  </si>
  <si>
    <t>Mauhoasung</t>
  </si>
  <si>
    <t>Màu nền hoa súng</t>
  </si>
  <si>
    <t>DoDamMIRANT</t>
  </si>
  <si>
    <t>OLIVEMIRANT</t>
  </si>
  <si>
    <t>Đỏ đậm MIRANTA</t>
  </si>
  <si>
    <t>MIRANTA</t>
  </si>
  <si>
    <t>XanhReu</t>
  </si>
  <si>
    <t>Xanh rêu</t>
  </si>
  <si>
    <t>SonPha7407C</t>
  </si>
  <si>
    <t>Sơn Pha 7407C</t>
  </si>
  <si>
    <t>Trừ tiền sơn ngày 19/05/2017:</t>
  </si>
  <si>
    <t>Còn nợ đến ngày 19/05/2017:</t>
  </si>
  <si>
    <t>0988539922</t>
  </si>
  <si>
    <t>SonPha7763C</t>
  </si>
  <si>
    <t>SonPha2377C</t>
  </si>
  <si>
    <t>Sơn Pha 2377C</t>
  </si>
  <si>
    <t>SonPha2167C</t>
  </si>
  <si>
    <t>Sơn pha 2167C</t>
  </si>
  <si>
    <t>SonPha647C</t>
  </si>
  <si>
    <t>Sơn pha 647C</t>
  </si>
  <si>
    <t>Thuong</t>
  </si>
  <si>
    <t>Đỗ Thị Thương</t>
  </si>
  <si>
    <t>CÔNG TY TNHH CỬA ĐỎ</t>
  </si>
  <si>
    <t>PHIẾU BÁN HÀNG</t>
  </si>
  <si>
    <t>Đơn vị:</t>
  </si>
  <si>
    <t>Stt</t>
  </si>
  <si>
    <t>ĐVT</t>
  </si>
  <si>
    <t>Giá</t>
  </si>
  <si>
    <t>Tổng cộng tiền thanh toán:</t>
  </si>
  <si>
    <t>Bằng chữ :</t>
  </si>
  <si>
    <t>(Ký,họ tên)</t>
  </si>
  <si>
    <t>Người nhận hàng</t>
  </si>
  <si>
    <t>Kế toán trưởng</t>
  </si>
  <si>
    <t>Mã VT</t>
  </si>
  <si>
    <t>Màu nền hoa hồng</t>
  </si>
  <si>
    <t>Sơn pha 2133C</t>
  </si>
  <si>
    <t>Sơn pha 0642C</t>
  </si>
  <si>
    <t>Sơn pha 5516C</t>
  </si>
  <si>
    <t>Mautrangduc2</t>
  </si>
  <si>
    <t>Màu trắng đục 2</t>
  </si>
  <si>
    <t>SonPha2276C</t>
  </si>
  <si>
    <t>Sơn Pha 2276C</t>
  </si>
  <si>
    <t>SonPha541C</t>
  </si>
  <si>
    <t>Sơn Pha 541C</t>
  </si>
  <si>
    <t>Maughigiada</t>
  </si>
  <si>
    <t>Nhuvangkhaybe</t>
  </si>
  <si>
    <t>Nhũ vàng khay bé</t>
  </si>
  <si>
    <t xml:space="preserve">                                                                                                                                     </t>
  </si>
  <si>
    <t>Sơn pha 9345C</t>
  </si>
  <si>
    <t>SonPha5535C</t>
  </si>
  <si>
    <t>SonPha447C</t>
  </si>
  <si>
    <t>Sơn pha 447C</t>
  </si>
  <si>
    <t>Vật tư</t>
  </si>
  <si>
    <t>Màu nhạt khay Merritt</t>
  </si>
  <si>
    <t>Nội dung:</t>
  </si>
  <si>
    <t>Pu trắng</t>
  </si>
  <si>
    <t>Pu đen</t>
  </si>
  <si>
    <t>Người nhận hàng:</t>
  </si>
  <si>
    <t>Tổng tiền:</t>
  </si>
  <si>
    <t>Bóng thường</t>
  </si>
  <si>
    <t>Pu trong</t>
  </si>
  <si>
    <t>HoangvanQuy</t>
  </si>
  <si>
    <t>Hoàng Văn Quý</t>
  </si>
  <si>
    <t>0393883962</t>
  </si>
  <si>
    <t>Bắc Ninh</t>
  </si>
  <si>
    <t>Cứng pu</t>
  </si>
  <si>
    <t>Bóng CNM</t>
  </si>
  <si>
    <t>833A1</t>
  </si>
  <si>
    <t>832A1</t>
  </si>
  <si>
    <t>831A3</t>
  </si>
  <si>
    <t>800D</t>
  </si>
  <si>
    <t>651A1</t>
  </si>
  <si>
    <t>651B1</t>
  </si>
  <si>
    <t>951A1</t>
  </si>
  <si>
    <t>951B1</t>
  </si>
  <si>
    <t>Cứng bóng CNM</t>
  </si>
  <si>
    <t>Mờ 50%</t>
  </si>
  <si>
    <t>Cứng mờ 50%</t>
  </si>
  <si>
    <t>952A1</t>
  </si>
  <si>
    <t>Bóng trắng CNM</t>
  </si>
  <si>
    <t>952B1</t>
  </si>
  <si>
    <t>Cứng bóng trắng CNM</t>
  </si>
  <si>
    <t>FYR32A57</t>
  </si>
  <si>
    <t>FYR32A11-20</t>
  </si>
  <si>
    <t>FYL32A-20</t>
  </si>
  <si>
    <t>FYL32A5-20</t>
  </si>
  <si>
    <t>FYG32A5-20</t>
  </si>
  <si>
    <t>Giay1</t>
  </si>
  <si>
    <t>Hộp nhựa nhỡ</t>
  </si>
  <si>
    <t>Xang1</t>
  </si>
  <si>
    <t>SonPha2302C</t>
  </si>
  <si>
    <t>Sơn pha 2302C</t>
  </si>
  <si>
    <t>SonPha2736C</t>
  </si>
  <si>
    <t>Sơn pha 2736C</t>
  </si>
  <si>
    <t>SonPha2905C</t>
  </si>
  <si>
    <t>Sơn pha 2905C</t>
  </si>
  <si>
    <t>SonPha613C</t>
  </si>
  <si>
    <t>Sơn pha 613C</t>
  </si>
  <si>
    <t>SonPha7718C</t>
  </si>
  <si>
    <t>Sơn pha 7718C</t>
  </si>
  <si>
    <t>SonPha2305C</t>
  </si>
  <si>
    <t>Sơn pha 2305C</t>
  </si>
  <si>
    <t>SonPha412C</t>
  </si>
  <si>
    <t>Sơn pha 412C</t>
  </si>
  <si>
    <t>D61G</t>
  </si>
  <si>
    <t>D61 Gray</t>
  </si>
  <si>
    <t>Sơn pha 2748C</t>
  </si>
  <si>
    <t>SonPha5483C</t>
  </si>
  <si>
    <t>Sơn Pha 5483C</t>
  </si>
  <si>
    <t>Mauphalotchinhat</t>
  </si>
  <si>
    <t>SonPha7428C</t>
  </si>
  <si>
    <t>SonPha7682C</t>
  </si>
  <si>
    <t>Sơn pha 7682C</t>
  </si>
  <si>
    <t>SonPha3935C</t>
  </si>
  <si>
    <t>SonPha7623C</t>
  </si>
  <si>
    <t>Sơn Pha 7623C</t>
  </si>
  <si>
    <t>SonPha663C</t>
  </si>
  <si>
    <t>Sơn pha 663C</t>
  </si>
  <si>
    <t>SonPha690C</t>
  </si>
  <si>
    <t>SonPha7417C</t>
  </si>
  <si>
    <t>Sơn pha 7417C</t>
  </si>
  <si>
    <t>SonPha7484C</t>
  </si>
  <si>
    <t>Xanh Nicobar</t>
  </si>
  <si>
    <t>D55</t>
  </si>
  <si>
    <t>SonPha3125C</t>
  </si>
  <si>
    <t>Sơn Pha 1595C</t>
  </si>
  <si>
    <t>Sơn pha 690C</t>
  </si>
  <si>
    <t>XanhCG-PN</t>
  </si>
  <si>
    <t>XanhKA-PN</t>
  </si>
  <si>
    <t>Sơn pha 2747C</t>
  </si>
  <si>
    <t>GST-HGC-407</t>
  </si>
  <si>
    <t>Sonpha1655C</t>
  </si>
  <si>
    <t>Sơn pha 1655C</t>
  </si>
  <si>
    <t>Nhu877</t>
  </si>
  <si>
    <t>SonPha2188C</t>
  </si>
  <si>
    <t>Sơn pha 2188C</t>
  </si>
  <si>
    <t>D58</t>
  </si>
  <si>
    <t>SonPha7624C</t>
  </si>
  <si>
    <t>Sơn Pha 7624C</t>
  </si>
  <si>
    <t>SonPha214C</t>
  </si>
  <si>
    <t>Xang2</t>
  </si>
  <si>
    <t>GoMDF6L</t>
  </si>
  <si>
    <t>Gỗ MDF 6ly</t>
  </si>
  <si>
    <t>GoMDF9L</t>
  </si>
  <si>
    <t>Gỗ MDF 9ly</t>
  </si>
  <si>
    <t>GoMDF3L2T</t>
  </si>
  <si>
    <t>Gỗ trắng 2 măt 3 ly</t>
  </si>
  <si>
    <t>Blvuongtrangbe</t>
  </si>
  <si>
    <t>Bản lề vuông trắng bé</t>
  </si>
  <si>
    <t>Blcanhbuom</t>
  </si>
  <si>
    <t>Bản lề cánh bướm</t>
  </si>
  <si>
    <t>Giayloc</t>
  </si>
  <si>
    <t>Giấy lọc sơn</t>
  </si>
  <si>
    <t>Decal1</t>
  </si>
  <si>
    <t>BlackC</t>
  </si>
  <si>
    <t>Màu Black C</t>
  </si>
  <si>
    <t>Black3C</t>
  </si>
  <si>
    <t>Black 3C</t>
  </si>
  <si>
    <t>HopNhuaNho3</t>
  </si>
  <si>
    <t>Hộp nhựa nhỏ xíu</t>
  </si>
  <si>
    <t>HopNhuaNho2</t>
  </si>
  <si>
    <t>HopNhuabe</t>
  </si>
  <si>
    <t>Pu012C</t>
  </si>
  <si>
    <t>Vàng 012C</t>
  </si>
  <si>
    <t>CoolGray1C</t>
  </si>
  <si>
    <t>Màu Cool Gray 1C</t>
  </si>
  <si>
    <t>CoolGray2C</t>
  </si>
  <si>
    <t>CoolGray7C</t>
  </si>
  <si>
    <t>CoolGray8C</t>
  </si>
  <si>
    <t>DoLB-PN</t>
  </si>
  <si>
    <t>Đỏ Lục Bình-PeoNy</t>
  </si>
  <si>
    <t>Xanh con gấu-PeoNy</t>
  </si>
  <si>
    <t>Xanh khung ảnh-PeoNy</t>
  </si>
  <si>
    <t>CKC-PN</t>
  </si>
  <si>
    <t>Chỉ khay chim-Peony</t>
  </si>
  <si>
    <t>VangM+</t>
  </si>
  <si>
    <t>Chongam</t>
  </si>
  <si>
    <t>Chống ẩm</t>
  </si>
  <si>
    <t>Xanhconoc</t>
  </si>
  <si>
    <t>Xanh con ốc</t>
  </si>
  <si>
    <t>Mauxanhdaiviet</t>
  </si>
  <si>
    <t>Màu xanh đại việt</t>
  </si>
  <si>
    <t>Mautimdaiviet</t>
  </si>
  <si>
    <t>Màu tím đại việt</t>
  </si>
  <si>
    <t>màu lót chỉ nhạt</t>
  </si>
  <si>
    <t>Mauhoahong</t>
  </si>
  <si>
    <t>Mauxanhbattre</t>
  </si>
  <si>
    <t>màu xanh bát tre</t>
  </si>
  <si>
    <t>Mauhongchilotngoan</t>
  </si>
  <si>
    <t>Màu hồng chỉ lót ngoằn</t>
  </si>
  <si>
    <t>Xanhconbao</t>
  </si>
  <si>
    <t>Xanh con báo</t>
  </si>
  <si>
    <t>Màu ghi giả đá</t>
  </si>
  <si>
    <t>ChiMerritt</t>
  </si>
  <si>
    <t>Màu chỉ Merritt</t>
  </si>
  <si>
    <t>NhatMerritt</t>
  </si>
  <si>
    <t>TST</t>
  </si>
  <si>
    <t>Trắng sọc trắng</t>
  </si>
  <si>
    <t>MucIn</t>
  </si>
  <si>
    <t>Mực In lưới mầu trắng</t>
  </si>
  <si>
    <t>NhuVangAslotel</t>
  </si>
  <si>
    <t>Nhũ Vàng Aslotel</t>
  </si>
  <si>
    <t>Nhũ trắng 877</t>
  </si>
  <si>
    <t>Phi</t>
  </si>
  <si>
    <t>Phí xăng</t>
  </si>
  <si>
    <t>Phuy</t>
  </si>
  <si>
    <t>Phuy xăng</t>
  </si>
  <si>
    <t>KhanLau</t>
  </si>
  <si>
    <t>Khăn lau hàng</t>
  </si>
  <si>
    <t>SonPha120C</t>
  </si>
  <si>
    <t>Sơn pha 120C</t>
  </si>
  <si>
    <t>SonPha1225C</t>
  </si>
  <si>
    <t>Sơn pha 1225C</t>
  </si>
  <si>
    <t>SonPha187C</t>
  </si>
  <si>
    <t>Sơn pha 187C</t>
  </si>
  <si>
    <t>SonPha1817C</t>
  </si>
  <si>
    <t>Sơn pha 1817C</t>
  </si>
  <si>
    <t>SonPha185C</t>
  </si>
  <si>
    <t>Sơn pha 185C</t>
  </si>
  <si>
    <t>SonPha166C</t>
  </si>
  <si>
    <t>Sơn pha 166C</t>
  </si>
  <si>
    <t>SonPha1807C</t>
  </si>
  <si>
    <t>Sơn Pha 1807C</t>
  </si>
  <si>
    <t>SonPha1805C</t>
  </si>
  <si>
    <t>Sơn Pha 1805C</t>
  </si>
  <si>
    <t>SonPha1945C</t>
  </si>
  <si>
    <t>Sơn Pha 1945C</t>
  </si>
  <si>
    <t>SonPha1495C</t>
  </si>
  <si>
    <t>Sơn Pha 1495C</t>
  </si>
  <si>
    <t>SonPha1595C</t>
  </si>
  <si>
    <t>SonPha210C</t>
  </si>
  <si>
    <t>Sơn Pha 210C</t>
  </si>
  <si>
    <t>Sơn Pha 214C</t>
  </si>
  <si>
    <t>SonPha2415C</t>
  </si>
  <si>
    <t>Sơn pha 2415C</t>
  </si>
  <si>
    <t>SonPha222C</t>
  </si>
  <si>
    <t>Sơn pha 222C</t>
  </si>
  <si>
    <t>SonPha2716C</t>
  </si>
  <si>
    <t>Sơn Pha 2716C</t>
  </si>
  <si>
    <t>SonPha2325C</t>
  </si>
  <si>
    <t>Sơn Pha 2325C</t>
  </si>
  <si>
    <t>SonPha2389C</t>
  </si>
  <si>
    <t>Sơn Pha 2389C</t>
  </si>
  <si>
    <t>SonPha277C</t>
  </si>
  <si>
    <t>Sơn pha 277C</t>
  </si>
  <si>
    <t>SonPha275C</t>
  </si>
  <si>
    <t>Sơn pha 275C</t>
  </si>
  <si>
    <t>SonPha2748C</t>
  </si>
  <si>
    <t>SonPha2747C</t>
  </si>
  <si>
    <t>SonPha2707C</t>
  </si>
  <si>
    <t>Sơn pha 2707C</t>
  </si>
  <si>
    <t>SonPha286C</t>
  </si>
  <si>
    <t>Sơn Pha 286C</t>
  </si>
  <si>
    <t>SonPha288C</t>
  </si>
  <si>
    <t>Sơn Pha 288C</t>
  </si>
  <si>
    <t>SonPha294C</t>
  </si>
  <si>
    <t>Sơn Pha 294C</t>
  </si>
  <si>
    <t>SonPha296C</t>
  </si>
  <si>
    <t>Sơn Pha 296C</t>
  </si>
  <si>
    <t>SonPha2965C</t>
  </si>
  <si>
    <t>Sơn pha 2965C</t>
  </si>
  <si>
    <t>SonPha2975C</t>
  </si>
  <si>
    <t>Sơn pha 2975C</t>
  </si>
  <si>
    <t>SonPha347C</t>
  </si>
  <si>
    <t>Sơn Pha 347C</t>
  </si>
  <si>
    <t>SonPha357C</t>
  </si>
  <si>
    <t>Sơn pha 357C</t>
  </si>
  <si>
    <t>Sonpha350C</t>
  </si>
  <si>
    <t>Sơn pha 350C</t>
  </si>
  <si>
    <t>SonPha363C</t>
  </si>
  <si>
    <t>Sơn pha 363C</t>
  </si>
  <si>
    <t>SonPha388C</t>
  </si>
  <si>
    <t>Sơn pha 388C</t>
  </si>
  <si>
    <t>SonPha3025C</t>
  </si>
  <si>
    <t>Sơn pha 3025C</t>
  </si>
  <si>
    <t>Sơn pha 3125C</t>
  </si>
  <si>
    <t>SonPha3258C</t>
  </si>
  <si>
    <t>Sơn pha 3258C</t>
  </si>
  <si>
    <t>Sơn pha 3935C</t>
  </si>
  <si>
    <t>SonPha411C</t>
  </si>
  <si>
    <t>Sơn Pha 411C</t>
  </si>
  <si>
    <t>SonPha427C</t>
  </si>
  <si>
    <t>Sơn pha 427C</t>
  </si>
  <si>
    <t>SonPha433C</t>
  </si>
  <si>
    <t>Sơn pha 433C</t>
  </si>
  <si>
    <t>SonPha430C</t>
  </si>
  <si>
    <t>Sơn pha 430C</t>
  </si>
  <si>
    <t>SonPha473C</t>
  </si>
  <si>
    <t>Sơn pha 473C</t>
  </si>
  <si>
    <t>SonPha489C</t>
  </si>
  <si>
    <t>Sơn Pha 489C</t>
  </si>
  <si>
    <t>SonPha4995C</t>
  </si>
  <si>
    <t>Sơn Pha 4995C</t>
  </si>
  <si>
    <t>SonPha5513C</t>
  </si>
  <si>
    <t>Sơn pha 5513C</t>
  </si>
  <si>
    <t>SonPha540C</t>
  </si>
  <si>
    <t>Sơn pha 540C</t>
  </si>
  <si>
    <t>SonPha5145C</t>
  </si>
  <si>
    <t>Sơn Pha 5145C</t>
  </si>
  <si>
    <t>SonPha519C</t>
  </si>
  <si>
    <t>Sơn Pha 519C</t>
  </si>
  <si>
    <t>SonPha547C</t>
  </si>
  <si>
    <t>Sơn pha 547C</t>
  </si>
  <si>
    <t>Sơn Pha 5535C</t>
  </si>
  <si>
    <t>SonPha5545C</t>
  </si>
  <si>
    <t>Sơn Pha 5545C</t>
  </si>
  <si>
    <t>SonPha560C</t>
  </si>
  <si>
    <t>Sơn pha 560C</t>
  </si>
  <si>
    <t>Sơn pha 600C</t>
  </si>
  <si>
    <t>SonPha635C</t>
  </si>
  <si>
    <t>Sơn pha 635C</t>
  </si>
  <si>
    <t>SonPha691C</t>
  </si>
  <si>
    <t>Sơn pha 691C</t>
  </si>
  <si>
    <t>Sơn pha 692C</t>
  </si>
  <si>
    <t>Sonpha704C</t>
  </si>
  <si>
    <t>Sơn pha 704C</t>
  </si>
  <si>
    <t>Sonpha703C</t>
  </si>
  <si>
    <t>Sơn pha 703C</t>
  </si>
  <si>
    <t>SonPha721C</t>
  </si>
  <si>
    <t>Sơn pha 721C</t>
  </si>
  <si>
    <t>SonPha7494C</t>
  </si>
  <si>
    <t>Sơn Pha 7494C</t>
  </si>
  <si>
    <t>SonPha7416C</t>
  </si>
  <si>
    <t>Sơn Pha 7416C</t>
  </si>
  <si>
    <t>Sonpha715C</t>
  </si>
  <si>
    <t>Sơn Pha 715C</t>
  </si>
  <si>
    <t>SonPha7421C</t>
  </si>
  <si>
    <t>Sơn Pha 7421C</t>
  </si>
  <si>
    <t>SonPha7475C</t>
  </si>
  <si>
    <t>Sơn Pha 7475C</t>
  </si>
  <si>
    <t>SonPha7457C</t>
  </si>
  <si>
    <t>Sơn Pha 7457C</t>
  </si>
  <si>
    <t>SonPha7486C</t>
  </si>
  <si>
    <t>Sơn pha 7486C</t>
  </si>
  <si>
    <t>SonPha7482C</t>
  </si>
  <si>
    <t>Sơn pha 7482C</t>
  </si>
  <si>
    <t>Sơn pha 7428C</t>
  </si>
  <si>
    <t>Sơn pha 7484C</t>
  </si>
  <si>
    <t>Sơn pha 7499C</t>
  </si>
  <si>
    <t>SonPha7522C</t>
  </si>
  <si>
    <t>Sơn pha 7522C</t>
  </si>
  <si>
    <t>SonPha7527C</t>
  </si>
  <si>
    <t>Sơn pha 7527C</t>
  </si>
  <si>
    <t>SonPha7521C</t>
  </si>
  <si>
    <t>Sơn pha 7521C</t>
  </si>
  <si>
    <t>SonPha7534C</t>
  </si>
  <si>
    <t>Sơn pha 7534C</t>
  </si>
  <si>
    <t>SonPha7533C</t>
  </si>
  <si>
    <t>Sơn pha 7533C</t>
  </si>
  <si>
    <t>SonPha7540C</t>
  </si>
  <si>
    <t>Sơn pha 7540C</t>
  </si>
  <si>
    <t>SonPha7564C</t>
  </si>
  <si>
    <t>Sơn pha 7564C</t>
  </si>
  <si>
    <t>SonPha7591C</t>
  </si>
  <si>
    <t>Sơn pha 7591C</t>
  </si>
  <si>
    <t>Sơn pha 7597C</t>
  </si>
  <si>
    <t>SonPha7615C</t>
  </si>
  <si>
    <t>Sơn Pha 7615C</t>
  </si>
  <si>
    <t>SonPha7622C</t>
  </si>
  <si>
    <t>Sơn Pha 7622C</t>
  </si>
  <si>
    <t>SonPha7687C</t>
  </si>
  <si>
    <t>Sơn pha 7687C</t>
  </si>
  <si>
    <t>SonPha7689C</t>
  </si>
  <si>
    <t>Sơn pha 7689C</t>
  </si>
  <si>
    <t>SonPha7693C</t>
  </si>
  <si>
    <t>Sơn pha 7693C</t>
  </si>
  <si>
    <t>Sơn pha 7733C</t>
  </si>
  <si>
    <t>SonPha7690C</t>
  </si>
  <si>
    <t>Sơn pha 7690C</t>
  </si>
  <si>
    <t>SonPha7721C</t>
  </si>
  <si>
    <t>Sơn pha 7721C</t>
  </si>
  <si>
    <t>SonPha7762C</t>
  </si>
  <si>
    <t>Sơn pha 7762C</t>
  </si>
  <si>
    <t>SonPha7701C</t>
  </si>
  <si>
    <t>Sơn pha 7701C</t>
  </si>
  <si>
    <t>SonPha7646C</t>
  </si>
  <si>
    <t>Sơn Pha 7646C</t>
  </si>
  <si>
    <t>SonPha7695C</t>
  </si>
  <si>
    <t>Sơn pha 7695C</t>
  </si>
  <si>
    <t>SonPha7669C</t>
  </si>
  <si>
    <t>Sơn pha 7669C</t>
  </si>
  <si>
    <t>SonPha7345C</t>
  </si>
  <si>
    <t>Sơn pha 7345C</t>
  </si>
  <si>
    <t>SonPha9345C</t>
  </si>
  <si>
    <t>Sonpha19-1228</t>
  </si>
  <si>
    <t>Sơn pha 19-1228</t>
  </si>
  <si>
    <t>Sonpha18-0527</t>
  </si>
  <si>
    <t>Sơn pha 18-0527</t>
  </si>
  <si>
    <t>Sonpha17-1710</t>
  </si>
  <si>
    <t>Sơn pha 17-1710</t>
  </si>
  <si>
    <t>Nhupha</t>
  </si>
  <si>
    <t>Nhũ pha ( hạt to)</t>
  </si>
  <si>
    <t>Mau1</t>
  </si>
  <si>
    <t>Mẫu 1</t>
  </si>
  <si>
    <t>Maug</t>
  </si>
  <si>
    <t>Mẫu Green</t>
  </si>
  <si>
    <t>D57</t>
  </si>
  <si>
    <t>D61</t>
  </si>
  <si>
    <t>D62</t>
  </si>
  <si>
    <t>D33</t>
  </si>
  <si>
    <t>D33-2188</t>
  </si>
  <si>
    <t>D22</t>
  </si>
  <si>
    <t>Nomi21</t>
  </si>
  <si>
    <t>Nomi 21</t>
  </si>
  <si>
    <t>Nomi22</t>
  </si>
  <si>
    <t>Nomi 22</t>
  </si>
  <si>
    <t>Nomi23</t>
  </si>
  <si>
    <t>Nomi 23</t>
  </si>
  <si>
    <t>Nomi26</t>
  </si>
  <si>
    <t>Nomi 26</t>
  </si>
  <si>
    <t>Xanhcakoi</t>
  </si>
  <si>
    <t>Màu xanh cá Koi</t>
  </si>
  <si>
    <t>LCDNomi</t>
  </si>
  <si>
    <t>Lót chỉ đậm NoMi</t>
  </si>
  <si>
    <t>Nau8-2xl</t>
  </si>
  <si>
    <t>Màu nâu 8-2XL</t>
  </si>
  <si>
    <t>Kem8-2Xl</t>
  </si>
  <si>
    <t>Màu kem  8-2XL</t>
  </si>
  <si>
    <t>T002-2DV1</t>
  </si>
  <si>
    <t>T002-2DV2</t>
  </si>
  <si>
    <t>T003-2DV6</t>
  </si>
  <si>
    <t>Xanhhoaday</t>
  </si>
  <si>
    <t>Xanh hoa dây</t>
  </si>
  <si>
    <t>FYN32A19-20</t>
  </si>
  <si>
    <t>108-AJ</t>
  </si>
  <si>
    <t>PU xanh ngọc</t>
  </si>
  <si>
    <t>MauOFC 19-M10</t>
  </si>
  <si>
    <t>Màu pha OFC 19-M10</t>
  </si>
  <si>
    <t>Ghi sọc trắng-HGC-407</t>
  </si>
  <si>
    <t>Thùng Phi</t>
  </si>
  <si>
    <t>Nidodam</t>
  </si>
  <si>
    <t>Nỉ đỏ đậm</t>
  </si>
  <si>
    <t>m</t>
  </si>
  <si>
    <t>Nitrang</t>
  </si>
  <si>
    <t>Nỉ trắng</t>
  </si>
  <si>
    <t>Niden</t>
  </si>
  <si>
    <t>Nỉ đen</t>
  </si>
  <si>
    <t>maulaco</t>
  </si>
  <si>
    <t>Màu xanh lá cọ</t>
  </si>
  <si>
    <t>Maulachuoi</t>
  </si>
  <si>
    <t>Màu xanh lá chuối</t>
  </si>
  <si>
    <t>Xanhnicobar</t>
  </si>
  <si>
    <t>SonPha5516C</t>
  </si>
  <si>
    <t>SonPha2133C</t>
  </si>
  <si>
    <t>SonPha0642C</t>
  </si>
  <si>
    <t>TmBacChi01/B</t>
  </si>
  <si>
    <t>Tinh mầu bạc chì 01/B</t>
  </si>
  <si>
    <t>TM.Vangchampage</t>
  </si>
  <si>
    <t>Tinh màu vàng Champage B47A</t>
  </si>
  <si>
    <t>TM.XanhGreen</t>
  </si>
  <si>
    <t>Tinh màu xanh Green</t>
  </si>
  <si>
    <t>Wram gray 2C</t>
  </si>
  <si>
    <t>WarmGray3C</t>
  </si>
  <si>
    <t>Wram gray 3C</t>
  </si>
  <si>
    <t xml:space="preserve">WarmGray1C </t>
  </si>
  <si>
    <t>Wram gray C1</t>
  </si>
  <si>
    <t>Wram gray 5C</t>
  </si>
  <si>
    <t xml:space="preserve">WarmGray6C </t>
  </si>
  <si>
    <t>Wram gray C6</t>
  </si>
  <si>
    <t>MaukengangYUS</t>
  </si>
  <si>
    <t>Màu kẻ ngang YUS</t>
  </si>
  <si>
    <t>xanhkhaythemet</t>
  </si>
  <si>
    <t>Màu xanh khay the met</t>
  </si>
  <si>
    <t>Xanh1</t>
  </si>
  <si>
    <t>Màu xanh pha</t>
  </si>
  <si>
    <t>Sonpha</t>
  </si>
  <si>
    <t>SonPha</t>
  </si>
  <si>
    <t>Hong1</t>
  </si>
  <si>
    <t>Màu Hồng pha</t>
  </si>
  <si>
    <t>Can</t>
  </si>
  <si>
    <t>Xanh</t>
  </si>
  <si>
    <t xml:space="preserve">Màu xanh </t>
  </si>
  <si>
    <t>Màu Hồng</t>
  </si>
  <si>
    <t>SonPha2738C</t>
  </si>
  <si>
    <t>Sơn pha 2738C</t>
  </si>
  <si>
    <t>SonPha7686C</t>
  </si>
  <si>
    <t>Sơn pha 7686C</t>
  </si>
  <si>
    <t>SonPha151C</t>
  </si>
  <si>
    <t>Sơn Pha 151C</t>
  </si>
  <si>
    <t>Warmgray5C</t>
  </si>
  <si>
    <t>Sonpha1795C</t>
  </si>
  <si>
    <t>Sơn pha 1795C</t>
  </si>
  <si>
    <t>Số 25A,Lô 15,cụm CN làng nghề Hạ Thái,Duyên Thái,Thường Tín,Hà Nội</t>
  </si>
  <si>
    <t>SonPha116C</t>
  </si>
  <si>
    <t>Sơn pha 116C</t>
  </si>
  <si>
    <t>SonPha4735C</t>
  </si>
  <si>
    <t>Sơn pha 4735c</t>
  </si>
  <si>
    <t>Black4C</t>
  </si>
  <si>
    <t>Black 4C</t>
  </si>
  <si>
    <t>SonPha7531C</t>
  </si>
  <si>
    <t>Sơn pha 7531C</t>
  </si>
  <si>
    <t>SonPha206C</t>
  </si>
  <si>
    <t>Sơn Pha 206C</t>
  </si>
  <si>
    <t>SonPha2216C</t>
  </si>
  <si>
    <t>Sơn pha 2216C</t>
  </si>
  <si>
    <t>SonPha576C</t>
  </si>
  <si>
    <t>Sơn pha 576C</t>
  </si>
  <si>
    <t>NGUYỄN THỊ DIỆU HỒNG</t>
  </si>
  <si>
    <t>CTY CP ECO BAMBOO VN</t>
  </si>
  <si>
    <t>SonPha654C</t>
  </si>
  <si>
    <t>Sơn pha 654C</t>
  </si>
  <si>
    <t>SonPha289C</t>
  </si>
  <si>
    <t>Sơn Pha 289C</t>
  </si>
  <si>
    <t>SonPha2245C</t>
  </si>
  <si>
    <t>Sơn Pha 2245C</t>
  </si>
  <si>
    <t>SonPha7692C</t>
  </si>
  <si>
    <t>Sơn pha 7692C</t>
  </si>
  <si>
    <t>SonPha2170C</t>
  </si>
  <si>
    <t>Sơn pha 2170C</t>
  </si>
  <si>
    <t>SonPha727C</t>
  </si>
  <si>
    <t>Sơn pha 727C</t>
  </si>
  <si>
    <t>SonPha726C</t>
  </si>
  <si>
    <t>Sơn pha 726C</t>
  </si>
  <si>
    <t>Sơn Pha 281C</t>
  </si>
  <si>
    <t>SonPha281C</t>
  </si>
  <si>
    <t>SonPha651C</t>
  </si>
  <si>
    <t>Sơn pha 651C</t>
  </si>
  <si>
    <t>SonPha1905C</t>
  </si>
  <si>
    <t>Sơn pha 1905C</t>
  </si>
  <si>
    <t>SonPha122C</t>
  </si>
  <si>
    <t>Sơn pha 122C</t>
  </si>
  <si>
    <t>SonPha482C</t>
  </si>
  <si>
    <t>Sơn Pha 482C</t>
  </si>
  <si>
    <t>SonPha413C</t>
  </si>
  <si>
    <t>Sơn pha 413C</t>
  </si>
  <si>
    <t>Sonpha7589C</t>
  </si>
  <si>
    <t>SonPha7589C</t>
  </si>
  <si>
    <t>SonPha7593C</t>
  </si>
  <si>
    <t>Sơn pha 7593C</t>
  </si>
  <si>
    <t>Số điện thoại :0911815888</t>
  </si>
  <si>
    <t>Người Nhận : LÊ HỒNG MINH</t>
  </si>
  <si>
    <t>Người gửi :NGUYỄN NGỌC TRƯỜNG</t>
  </si>
  <si>
    <t>Số điện thoại : 0974.664.458</t>
  </si>
  <si>
    <t>Địa chỉ nhận: Cầu thang T3 nhà D8,
Kdt Đặng xá, Gia Lâm, HN</t>
  </si>
  <si>
    <t>SonPha209C</t>
  </si>
  <si>
    <t>Sơn Pha 209C</t>
  </si>
  <si>
    <t>SonPha7709C</t>
  </si>
  <si>
    <t>Sơn pha 7709C</t>
  </si>
  <si>
    <t>SonPha7636C</t>
  </si>
  <si>
    <t>Sơn pha 7636C</t>
  </si>
  <si>
    <t>SonPha341C</t>
  </si>
  <si>
    <t>Sơn Pha 341C</t>
  </si>
  <si>
    <t>Người Nhận :NGUYỄN VĂN TIẾN TOÀN</t>
  </si>
  <si>
    <t>Người gửi :TRẦN QUỐC TOẢN</t>
  </si>
  <si>
    <t>Số điện thoại : 0963005185</t>
  </si>
  <si>
    <t>Địa chỉ nhận: 32 Hà Tông Huân 
Q Sơn Trà TP Đà Nẵng</t>
  </si>
  <si>
    <t>Số điện thoại :0905553311</t>
  </si>
  <si>
    <t>SonPha1815C</t>
  </si>
  <si>
    <t>Sơn pha 1815C</t>
  </si>
  <si>
    <t>GoMDF3L</t>
  </si>
  <si>
    <t>Gỗ MDF 3 ly</t>
  </si>
  <si>
    <t>HopNhuabe1</t>
  </si>
  <si>
    <t>Hộp nhựa bé 1</t>
  </si>
  <si>
    <t>SonPha7579C</t>
  </si>
  <si>
    <t>Sơn pha 7579C</t>
  </si>
  <si>
    <t>Sonpha021C</t>
  </si>
  <si>
    <t>Sơn pha 021C</t>
  </si>
  <si>
    <t>SonPha325C</t>
  </si>
  <si>
    <t>Sơn Pha 325C</t>
  </si>
  <si>
    <t>Lớn hơn mét</t>
  </si>
  <si>
    <t>Mét</t>
  </si>
  <si>
    <t>Nhỏ hơn mét</t>
  </si>
  <si>
    <t>km </t>
  </si>
  <si>
    <t>(Ki-lô-mét)</t>
  </si>
  <si>
    <t>hm </t>
  </si>
  <si>
    <t>(Héc-tô-mét)</t>
  </si>
  <si>
    <t>dam (Đề-ca-mét)</t>
  </si>
  <si>
    <t>m  (Mét)</t>
  </si>
  <si>
    <t>dm (Đề-xi-mét)</t>
  </si>
  <si>
    <t>cm (xen-ti-mét)</t>
  </si>
  <si>
    <t>mm (Mi-li-mét)</t>
  </si>
  <si>
    <t>1 km = 10 hm = 1000m</t>
  </si>
  <si>
    <t>1hm =  10dam  100m</t>
  </si>
  <si>
    <t>1dam = 10m</t>
  </si>
  <si>
    <t>1m = 10dm = 100cm = 1000mm</t>
  </si>
  <si>
    <t>1dm = 10cm = 100mm</t>
  </si>
  <si>
    <t>1cm = 10 mm</t>
  </si>
  <si>
    <t>1 mm</t>
  </si>
  <si>
    <t>SonPha368C</t>
  </si>
  <si>
    <t>Sơn pha 368C</t>
  </si>
  <si>
    <t>SonPha549C</t>
  </si>
  <si>
    <t>Sơn pha 549C</t>
  </si>
  <si>
    <t>ml</t>
  </si>
  <si>
    <t>SonPha186C</t>
  </si>
  <si>
    <t>Sơn pha 186C</t>
  </si>
  <si>
    <t>SonPha629C</t>
  </si>
  <si>
    <t>Sơn pha 629C</t>
  </si>
  <si>
    <t>SonPha3435C</t>
  </si>
  <si>
    <t>Sơn Pha 3435C</t>
  </si>
  <si>
    <t>GoMDF5,5L</t>
  </si>
  <si>
    <t>Gỗ MDF 5,5ly</t>
  </si>
  <si>
    <t>CoolGray11C</t>
  </si>
  <si>
    <t>Mầu Cool Gray 11C</t>
  </si>
  <si>
    <t>SonPha7735C</t>
  </si>
  <si>
    <t>Sơn pha 7735C</t>
  </si>
  <si>
    <t>SonPha295C</t>
  </si>
  <si>
    <t>Sơn Pha 295C</t>
  </si>
  <si>
    <t>SonPha2617C</t>
  </si>
  <si>
    <t>Sơn Pha 2617C</t>
  </si>
  <si>
    <t>SonPha401C</t>
  </si>
  <si>
    <t>Sơn Pha 401C</t>
  </si>
  <si>
    <t>SonPha445C</t>
  </si>
  <si>
    <t>Sơn pha 445C</t>
  </si>
  <si>
    <t>SonPha7708C</t>
  </si>
  <si>
    <t>Sơn pha 7708C</t>
  </si>
  <si>
    <t>SonPha436C</t>
  </si>
  <si>
    <t>Sơn pha 436C</t>
  </si>
  <si>
    <t>Tourofjoy-smd</t>
  </si>
  <si>
    <t>Tour of joy-SMD</t>
  </si>
  <si>
    <t>Beige-SMD</t>
  </si>
  <si>
    <t>SonPha442C</t>
  </si>
  <si>
    <t>Sơn pha 442C</t>
  </si>
  <si>
    <t>Người Nhận : VŨ THỊ THỦY</t>
  </si>
  <si>
    <t>Người gửi :NGUYỄN THỊ HẢI YẾN</t>
  </si>
  <si>
    <t>Số điện thoại : 0972.466.538</t>
  </si>
  <si>
    <t>Số điện thoại :0932.104.499</t>
  </si>
  <si>
    <t>Địa chỉ nhận: Hẻm 273, Lý Thường Kiệt, 
KP Thống Nhất 1, Phường Dĩ An, Dĩ An, Bình Dương</t>
  </si>
  <si>
    <t>xanhnonclub</t>
  </si>
  <si>
    <t>xanh non club</t>
  </si>
  <si>
    <t>Hongclub</t>
  </si>
  <si>
    <t>Hồng club</t>
  </si>
  <si>
    <t>LHS</t>
  </si>
  <si>
    <t>Lá hoa sen</t>
  </si>
  <si>
    <t>831a3</t>
  </si>
  <si>
    <t>800d</t>
  </si>
  <si>
    <t>XANG2</t>
  </si>
  <si>
    <t>xanhngocclub</t>
  </si>
  <si>
    <t>Xanh ngọc Club</t>
  </si>
  <si>
    <t>SonPha500C</t>
  </si>
  <si>
    <t>Sơn pha 500C</t>
  </si>
  <si>
    <t>SonPha678C</t>
  </si>
  <si>
    <t>Sơn pha 678C</t>
  </si>
  <si>
    <t>SonPha2080C</t>
  </si>
  <si>
    <t>Sơn Pha 2080C</t>
  </si>
  <si>
    <t>Ngày….tháng….năm 2025</t>
  </si>
  <si>
    <t>xanhconranclub</t>
  </si>
  <si>
    <t>xanh con rắn club</t>
  </si>
  <si>
    <t>Trangranclub</t>
  </si>
  <si>
    <t>trắng rạn Club</t>
  </si>
  <si>
    <t>SonPha7472C</t>
  </si>
  <si>
    <t>Sơn Pha 7472C</t>
  </si>
  <si>
    <t>Vangstrone</t>
  </si>
  <si>
    <t>Vàng STR One</t>
  </si>
  <si>
    <t>SonPha365C</t>
  </si>
  <si>
    <t>Sơn pha 365C</t>
  </si>
  <si>
    <t>Sonpha356C</t>
  </si>
  <si>
    <t>Sơn pha 356C</t>
  </si>
  <si>
    <t>SonPha2312C</t>
  </si>
  <si>
    <t>Sơn pha 2312C</t>
  </si>
  <si>
    <t>SonPha410C</t>
  </si>
  <si>
    <t>Sơn Pha 410C</t>
  </si>
  <si>
    <t>One</t>
  </si>
  <si>
    <t>ghi-jone</t>
  </si>
  <si>
    <t>xanh-jone</t>
  </si>
  <si>
    <t>cam-Jone</t>
  </si>
  <si>
    <t>vang-Sone</t>
  </si>
  <si>
    <t>xanh-Bsone</t>
  </si>
  <si>
    <t>Xanh Blue STR One</t>
  </si>
  <si>
    <t>Xanh-Gsone</t>
  </si>
  <si>
    <t>Xanh lá STR One</t>
  </si>
  <si>
    <t>Do-Sone</t>
  </si>
  <si>
    <t>Đỏ STR One</t>
  </si>
  <si>
    <t>Ghi Jm One</t>
  </si>
  <si>
    <t>Xanh Jm One</t>
  </si>
  <si>
    <t>Cam Jm One</t>
  </si>
  <si>
    <t>SonPha443C-pt</t>
  </si>
  <si>
    <t>Sơn pha 443C-pt</t>
  </si>
  <si>
    <t>SonPha4745C</t>
  </si>
  <si>
    <t>Sơn pha 4745C</t>
  </si>
  <si>
    <t>Warmgray5C-pt</t>
  </si>
  <si>
    <t>Wram gray 5C-pt</t>
  </si>
  <si>
    <t>CoolGray1C-Pt</t>
  </si>
  <si>
    <t>Màu Cool Gray 1C-pt</t>
  </si>
  <si>
    <t>SonPha410C-pt</t>
  </si>
  <si>
    <t>Sơn Pha 410C-pt</t>
  </si>
  <si>
    <t>Hồng cây cọ CPR</t>
  </si>
  <si>
    <t>Hongcayco-CPR</t>
  </si>
  <si>
    <t>SonPha1795C-pt</t>
  </si>
  <si>
    <t>Sơn Pha 1795C-pt</t>
  </si>
  <si>
    <t>SonPha2748C-pt</t>
  </si>
  <si>
    <t>Sơn Pha 2748C-pt</t>
  </si>
  <si>
    <t>xanhtre-CPR</t>
  </si>
  <si>
    <t>Xanh tre CPR</t>
  </si>
  <si>
    <t>SonPha7546C-pt</t>
  </si>
  <si>
    <t>Sơn pha 7546C-pantone</t>
  </si>
  <si>
    <t>SonPha7544C-pt</t>
  </si>
  <si>
    <t>Sơn pha 7544C-pantone</t>
  </si>
  <si>
    <t>SonPha5473C-pt</t>
  </si>
  <si>
    <t>Sơn Pha 5473C-pantone</t>
  </si>
  <si>
    <t>nautre-CPR</t>
  </si>
  <si>
    <t>nâu tre-CPR</t>
  </si>
  <si>
    <t>Hopnhuanho</t>
  </si>
  <si>
    <t>NGUYỄN THỊ VÂN</t>
  </si>
  <si>
    <t>Ngày   08   Tháng   11    năm 2025</t>
  </si>
  <si>
    <t>952a1</t>
  </si>
  <si>
    <t>Hopnhuato</t>
  </si>
  <si>
    <t>xanhDung</t>
  </si>
  <si>
    <t>Xanh Dũng</t>
  </si>
  <si>
    <t>NauSCA-003</t>
  </si>
  <si>
    <t>Nâu SCA-003</t>
  </si>
  <si>
    <t>Sơn pha 654C-pt</t>
  </si>
  <si>
    <t>SonPha654C-pt</t>
  </si>
  <si>
    <t>Sonpha1655C-pt</t>
  </si>
  <si>
    <t>Sơn pha 1655C-pt</t>
  </si>
  <si>
    <t>Nausca-003</t>
  </si>
  <si>
    <t>NâuSCA-003</t>
  </si>
  <si>
    <t>SonPha2758C-pt</t>
  </si>
  <si>
    <t>Sơn Pha 2758C-pt</t>
  </si>
  <si>
    <t>Đội Aerobic 
Làng nghề Hạ Thái 
Chúc mừng</t>
  </si>
  <si>
    <t>951A1-1</t>
  </si>
  <si>
    <t>951B1-1</t>
  </si>
  <si>
    <t>SonPha7509C-pt</t>
  </si>
  <si>
    <t>Sơn pha 7509C-pantone</t>
  </si>
  <si>
    <t>SonPha7687C-pt</t>
  </si>
  <si>
    <t>Sơn pha 7687C-Pantone</t>
  </si>
  <si>
    <t>xang3</t>
  </si>
  <si>
    <t>Xang3</t>
  </si>
  <si>
    <t>xang4</t>
  </si>
  <si>
    <t>Xang4</t>
  </si>
  <si>
    <t>Ngày   14   Tháng   04    năm 2026</t>
  </si>
  <si>
    <t>Mã sơn</t>
  </si>
  <si>
    <t>Dungmoi</t>
  </si>
  <si>
    <t>Dung môi</t>
  </si>
  <si>
    <t>BẢNG BÁO GIÁ SƠN CTY CỬA ĐỎ</t>
  </si>
  <si>
    <t>Giá bán chưa VAT</t>
  </si>
  <si>
    <t>xang-01</t>
  </si>
  <si>
    <t>6514A6-01</t>
  </si>
  <si>
    <t>6514B6-01</t>
  </si>
  <si>
    <t>952A1-01</t>
  </si>
  <si>
    <t>952B1-01</t>
  </si>
  <si>
    <t>952A1-101</t>
  </si>
  <si>
    <t>952B1-101</t>
  </si>
  <si>
    <t>FYR32A57-01</t>
  </si>
  <si>
    <t>FYR32A11-20-01</t>
  </si>
  <si>
    <t>FYL32A-20-01</t>
  </si>
  <si>
    <t>FYN32A19-20-01</t>
  </si>
  <si>
    <t>FYL32A5-20-01</t>
  </si>
  <si>
    <t>FYG32A5-20-01</t>
  </si>
  <si>
    <t>951B1-01</t>
  </si>
  <si>
    <t>833A1-01</t>
  </si>
  <si>
    <t>832A1-01</t>
  </si>
  <si>
    <t>831A3-01</t>
  </si>
  <si>
    <t>800D-01</t>
  </si>
  <si>
    <t>651A1-01</t>
  </si>
  <si>
    <t>651B1-01</t>
  </si>
  <si>
    <t>951A1-01</t>
  </si>
  <si>
    <t>Người gửi : Trần Quốc Toản</t>
  </si>
  <si>
    <t>Số điện thoại :0903.498.889</t>
  </si>
  <si>
    <t>Người Nhận : Minh</t>
  </si>
  <si>
    <t>Số điện thoại : 0939.843.385</t>
  </si>
  <si>
    <t>Địa chỉ nhận: Phương Trang 
Lai Vung - Đồng Tháp</t>
  </si>
  <si>
    <t>952a1-01</t>
  </si>
  <si>
    <t>Ngày   21   Tháng   07    năm 2026</t>
  </si>
  <si>
    <t>Black6C</t>
  </si>
  <si>
    <t>Black 6C</t>
  </si>
  <si>
    <t>SonPha7505C-pt</t>
  </si>
  <si>
    <t>Sơn pha 7505c-pt</t>
  </si>
  <si>
    <t>Ngày….tháng….năm 2026</t>
  </si>
  <si>
    <t>Đ/C:Cty giày An Thịnh, số 12, DT743, kcn Sóng Thần 2, Dĩ An, TPHCM</t>
  </si>
  <si>
    <t>Người nhận :Hà Anh</t>
  </si>
  <si>
    <t>Người gửi : Hải Yến</t>
  </si>
  <si>
    <t>Số điện thoại : 0365.727.217</t>
  </si>
  <si>
    <t>SDD</t>
  </si>
  <si>
    <t>Sơn dầu điều</t>
  </si>
  <si>
    <t>can</t>
  </si>
  <si>
    <t>NGÔ HUY SÁNG</t>
  </si>
  <si>
    <t>ĐỖ THỊ THANH</t>
  </si>
  <si>
    <t>ĐỖ MẠNH TUẤN</t>
  </si>
  <si>
    <t>Ngày   07   Tháng   09    năm 2026</t>
  </si>
  <si>
    <t>Tm.vangnguyenla</t>
  </si>
  <si>
    <t>ĐỖ VĂN QUẢNG</t>
  </si>
  <si>
    <t>NGUYỄN VĂN MẠNH</t>
  </si>
  <si>
    <t>Ngày   08   Tháng   09    năm 2026</t>
  </si>
  <si>
    <t>Địa chỉ nhận: Hẻm 273,Đường Lý Thường Kiệt,
 Dĩ An, TP HCM</t>
  </si>
  <si>
    <t>sonpha7505C-pt</t>
  </si>
  <si>
    <t>SONPHA275c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</si>
</sst>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.0_);_(* \(#,##0.0\);_(* &quot;-&quot;??_);_(@_)"/>
    <numFmt numFmtId="166" formatCode="_(* #,##0_);_(* \(#,##0\);_(* &quot;-&quot;??_);_(@_)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0"/>
      <name val="Arial"/>
      <family val="2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8"/>
      <color theme="1"/>
      <name val="Times New Roman"/>
      <family val="1"/>
    </font>
    <font>
      <sz val="14"/>
      <color theme="1"/>
      <name val="Calibri"/>
      <family val="2"/>
      <scheme val="minor"/>
    </font>
    <font>
      <b/>
      <sz val="14"/>
      <name val="Times New Roman"/>
      <family val="1"/>
    </font>
    <font>
      <sz val="36"/>
      <color theme="1"/>
      <name val="Calibri"/>
      <family val="2"/>
      <scheme val="minor"/>
    </font>
    <font>
      <b/>
      <sz val="36"/>
      <color theme="1"/>
      <name val="Times New Roman"/>
      <family val="1"/>
    </font>
    <font>
      <b/>
      <sz val="28"/>
      <color theme="1"/>
      <name val="Times New Roman"/>
      <family val="1"/>
    </font>
    <font>
      <sz val="28"/>
      <color theme="1"/>
      <name val="Calibri"/>
      <family val="2"/>
      <scheme val="minor"/>
    </font>
    <font>
      <sz val="36"/>
      <name val="Times New Roman"/>
      <family val="1"/>
    </font>
    <font>
      <sz val="36"/>
      <color theme="1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b/>
      <sz val="18"/>
      <name val="Times New Roman"/>
      <family val="1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1"/>
      <color theme="1"/>
      <name val="Times New Roman"/>
      <family val="1"/>
    </font>
    <font>
      <sz val="13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60"/>
      <color theme="1"/>
      <name val="Times New Roman"/>
      <family val="1"/>
    </font>
    <font>
      <b/>
      <sz val="40"/>
      <color theme="1"/>
      <name val="Times New Roman"/>
      <family val="1"/>
    </font>
    <font>
      <sz val="4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4" fillId="0" borderId="0"/>
    <xf numFmtId="0" fontId="11" fillId="0" borderId="0" applyNumberFormat="0" applyFill="0" applyBorder="0" applyAlignment="0" applyProtection="0"/>
  </cellStyleXfs>
  <cellXfs count="95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/>
    <xf numFmtId="14" fontId="3" fillId="0" borderId="1" xfId="0" applyNumberFormat="1" applyFont="1" applyBorder="1"/>
    <xf numFmtId="49" fontId="3" fillId="0" borderId="1" xfId="0" applyNumberFormat="1" applyFont="1" applyBorder="1"/>
    <xf numFmtId="0" fontId="3" fillId="0" borderId="1" xfId="0" applyFont="1" applyBorder="1"/>
    <xf numFmtId="166" fontId="3" fillId="0" borderId="1" xfId="1" applyNumberFormat="1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65" fontId="2" fillId="2" borderId="1" xfId="1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14" fontId="2" fillId="2" borderId="1" xfId="0" applyNumberFormat="1" applyFont="1" applyFill="1" applyBorder="1" applyAlignment="1">
      <alignment horizontal="left" vertical="center" wrapText="1"/>
    </xf>
    <xf numFmtId="14" fontId="3" fillId="0" borderId="1" xfId="0" applyNumberFormat="1" applyFont="1" applyBorder="1" applyAlignment="1">
      <alignment horizontal="left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/>
    <xf numFmtId="166" fontId="2" fillId="0" borderId="0" xfId="0" applyNumberFormat="1" applyFont="1"/>
    <xf numFmtId="0" fontId="7" fillId="0" borderId="1" xfId="0" applyFont="1" applyBorder="1"/>
    <xf numFmtId="0" fontId="8" fillId="0" borderId="0" xfId="0" applyFont="1"/>
    <xf numFmtId="0" fontId="7" fillId="0" borderId="0" xfId="0" applyFont="1"/>
    <xf numFmtId="166" fontId="5" fillId="0" borderId="1" xfId="0" applyNumberFormat="1" applyFont="1" applyBorder="1"/>
    <xf numFmtId="0" fontId="7" fillId="0" borderId="0" xfId="0" applyFont="1" applyAlignment="1">
      <alignment horizontal="right"/>
    </xf>
    <xf numFmtId="166" fontId="2" fillId="0" borderId="0" xfId="1" applyNumberFormat="1" applyFont="1" applyFill="1" applyBorder="1"/>
    <xf numFmtId="166" fontId="5" fillId="0" borderId="0" xfId="0" applyNumberFormat="1" applyFont="1"/>
    <xf numFmtId="0" fontId="9" fillId="0" borderId="0" xfId="0" applyFont="1"/>
    <xf numFmtId="166" fontId="5" fillId="0" borderId="0" xfId="1" applyNumberFormat="1" applyFont="1" applyFill="1" applyBorder="1"/>
    <xf numFmtId="0" fontId="5" fillId="0" borderId="3" xfId="0" applyFont="1" applyBorder="1" applyAlignment="1">
      <alignment horizontal="center"/>
    </xf>
    <xf numFmtId="0" fontId="5" fillId="0" borderId="0" xfId="0" applyFont="1"/>
    <xf numFmtId="0" fontId="11" fillId="0" borderId="1" xfId="3" applyBorder="1"/>
    <xf numFmtId="0" fontId="0" fillId="0" borderId="6" xfId="0" applyBorder="1"/>
    <xf numFmtId="0" fontId="10" fillId="0" borderId="0" xfId="0" applyFont="1"/>
    <xf numFmtId="0" fontId="6" fillId="0" borderId="0" xfId="0" applyFont="1"/>
    <xf numFmtId="0" fontId="13" fillId="0" borderId="0" xfId="0" applyFont="1"/>
    <xf numFmtId="0" fontId="0" fillId="0" borderId="0" xfId="0" applyAlignment="1">
      <alignment vertical="center"/>
    </xf>
    <xf numFmtId="0" fontId="10" fillId="0" borderId="1" xfId="0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right" vertical="center"/>
    </xf>
    <xf numFmtId="3" fontId="7" fillId="0" borderId="4" xfId="0" applyNumberFormat="1" applyFont="1" applyBorder="1" applyAlignment="1">
      <alignment horizontal="right"/>
    </xf>
    <xf numFmtId="3" fontId="7" fillId="0" borderId="1" xfId="0" applyNumberFormat="1" applyFont="1" applyBorder="1" applyAlignment="1">
      <alignment horizontal="right"/>
    </xf>
    <xf numFmtId="0" fontId="14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8" fillId="0" borderId="0" xfId="0" applyFont="1"/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3" fontId="19" fillId="0" borderId="0" xfId="0" applyNumberFormat="1" applyFont="1" applyAlignment="1">
      <alignment vertical="center"/>
    </xf>
    <xf numFmtId="3" fontId="20" fillId="0" borderId="0" xfId="0" applyNumberFormat="1" applyFont="1" applyAlignment="1">
      <alignment vertical="center"/>
    </xf>
    <xf numFmtId="0" fontId="16" fillId="0" borderId="0" xfId="0" applyFont="1" applyAlignment="1">
      <alignment vertical="center" wrapText="1"/>
    </xf>
    <xf numFmtId="0" fontId="21" fillId="6" borderId="1" xfId="0" applyFont="1" applyFill="1" applyBorder="1" applyAlignment="1">
      <alignment horizontal="left" vertical="center" wrapText="1"/>
    </xf>
    <xf numFmtId="0" fontId="22" fillId="6" borderId="1" xfId="0" applyFont="1" applyFill="1" applyBorder="1" applyAlignment="1">
      <alignment horizontal="center" vertical="center" wrapText="1"/>
    </xf>
    <xf numFmtId="0" fontId="23" fillId="6" borderId="1" xfId="0" applyFont="1" applyFill="1" applyBorder="1" applyAlignment="1">
      <alignment horizontal="center" vertical="center" wrapText="1"/>
    </xf>
    <xf numFmtId="0" fontId="24" fillId="0" borderId="0" xfId="0" applyFont="1"/>
    <xf numFmtId="0" fontId="25" fillId="0" borderId="0" xfId="0" applyFont="1"/>
    <xf numFmtId="0" fontId="10" fillId="0" borderId="0" xfId="0" applyFont="1" applyAlignment="1">
      <alignment horizontal="left"/>
    </xf>
    <xf numFmtId="0" fontId="26" fillId="0" borderId="0" xfId="0" applyFont="1"/>
    <xf numFmtId="0" fontId="27" fillId="0" borderId="0" xfId="0" applyFont="1"/>
    <xf numFmtId="0" fontId="29" fillId="0" borderId="0" xfId="0" applyFont="1" applyAlignment="1">
      <alignment horizontal="center" vertical="center" wrapText="1"/>
    </xf>
    <xf numFmtId="3" fontId="3" fillId="0" borderId="1" xfId="0" applyNumberFormat="1" applyFont="1" applyBorder="1"/>
    <xf numFmtId="0" fontId="30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31" fillId="0" borderId="0" xfId="0" applyFont="1"/>
    <xf numFmtId="3" fontId="7" fillId="7" borderId="4" xfId="0" applyNumberFormat="1" applyFont="1" applyFill="1" applyBorder="1" applyAlignment="1">
      <alignment horizontal="right"/>
    </xf>
    <xf numFmtId="0" fontId="10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4" xfId="0" applyFont="1" applyBorder="1" applyAlignment="1">
      <alignment horizontal="right"/>
    </xf>
    <xf numFmtId="0" fontId="10" fillId="0" borderId="0" xfId="0" applyFont="1" applyAlignment="1">
      <alignment horizontal="center"/>
    </xf>
    <xf numFmtId="22" fontId="7" fillId="0" borderId="0" xfId="0" applyNumberFormat="1" applyFont="1" applyAlignment="1">
      <alignment horizontal="left"/>
    </xf>
    <xf numFmtId="0" fontId="12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23" fillId="6" borderId="1" xfId="0" applyFont="1" applyFill="1" applyBorder="1" applyAlignment="1">
      <alignment horizontal="center" vertical="center" wrapText="1"/>
    </xf>
    <xf numFmtId="0" fontId="22" fillId="6" borderId="1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left" vertical="center" wrapText="1"/>
    </xf>
    <xf numFmtId="14" fontId="6" fillId="0" borderId="2" xfId="0" applyNumberFormat="1" applyFont="1" applyBorder="1" applyAlignment="1">
      <alignment horizontal="center" wrapText="1"/>
    </xf>
    <xf numFmtId="14" fontId="10" fillId="0" borderId="2" xfId="0" applyNumberFormat="1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7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30" fillId="0" borderId="0" xfId="0" applyFont="1" applyAlignment="1">
      <alignment horizontal="left" vertical="center" wrapText="1"/>
    </xf>
  </cellXfs>
  <cellStyles count="4">
    <cellStyle name="Comma" xfId="1" builtinId="3"/>
    <cellStyle name="Hyperlink" xfId="3" builtinId="8"/>
    <cellStyle name="Normal" xfId="0" builtinId="0"/>
    <cellStyle name="Normal 2" xfId="2" xr:uid="{00000000-0005-0000-0000-000003000000}"/>
  </cellStyles>
  <dxfs count="2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mailto:Nguyenvantuoihien@gmail.com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69120-EEC4-4A54-B64A-566FF2831A77}">
  <sheetPr>
    <pageSetUpPr fitToPage="1"/>
  </sheetPr>
  <dimension ref="A1:V41"/>
  <sheetViews>
    <sheetView workbookViewId="0">
      <selection activeCell="F13" sqref="F13"/>
    </sheetView>
  </sheetViews>
  <sheetFormatPr defaultRowHeight="18" x14ac:dyDescent="0.35"/>
  <cols>
    <col min="1" max="1" width="6.88671875" customWidth="1"/>
    <col min="2" max="2" width="23.33203125" customWidth="1"/>
    <col min="3" max="3" width="30.5546875" customWidth="1"/>
    <col min="4" max="4" width="10.109375" customWidth="1"/>
    <col min="5" max="5" width="14.6640625" customWidth="1"/>
    <col min="6" max="6" width="14" style="43" customWidth="1"/>
    <col min="7" max="7" width="15.109375" customWidth="1"/>
    <col min="8" max="8" width="16.44140625" customWidth="1"/>
    <col min="10" max="10" width="10.109375" bestFit="1" customWidth="1"/>
  </cols>
  <sheetData>
    <row r="1" spans="1:16" ht="22.5" customHeight="1" x14ac:dyDescent="0.35">
      <c r="A1" s="41" t="s">
        <v>538</v>
      </c>
      <c r="B1" s="41"/>
      <c r="C1" s="41"/>
      <c r="D1" s="30"/>
      <c r="E1" s="30"/>
      <c r="F1" s="41"/>
      <c r="G1" s="30"/>
    </row>
    <row r="2" spans="1:16" ht="18.600000000000001" customHeight="1" x14ac:dyDescent="0.35">
      <c r="A2" s="41" t="s">
        <v>998</v>
      </c>
      <c r="B2" s="41"/>
      <c r="C2" s="41"/>
      <c r="D2" s="30"/>
      <c r="E2" s="30"/>
      <c r="F2" s="41"/>
      <c r="G2" s="30"/>
    </row>
    <row r="3" spans="1:16" x14ac:dyDescent="0.35">
      <c r="A3" s="80">
        <f ca="1">NOW()</f>
        <v>46273.708471180558</v>
      </c>
      <c r="B3" s="80"/>
      <c r="C3" s="30"/>
      <c r="D3" s="30"/>
      <c r="E3" s="30"/>
      <c r="F3" s="41"/>
      <c r="G3" s="30"/>
    </row>
    <row r="4" spans="1:16" ht="26.4" customHeight="1" x14ac:dyDescent="0.3">
      <c r="A4" s="81" t="s">
        <v>539</v>
      </c>
      <c r="B4" s="81"/>
      <c r="C4" s="81"/>
      <c r="D4" s="81"/>
      <c r="E4" s="81"/>
      <c r="F4" s="81"/>
      <c r="G4" s="81"/>
    </row>
    <row r="5" spans="1:16" ht="20.25" customHeight="1" x14ac:dyDescent="0.3">
      <c r="A5" s="82" t="s">
        <v>1209</v>
      </c>
      <c r="B5" s="82"/>
      <c r="C5" s="82"/>
      <c r="D5" s="82"/>
      <c r="E5" s="82"/>
      <c r="F5" s="82"/>
      <c r="G5" s="82"/>
    </row>
    <row r="6" spans="1:16" ht="21.6" customHeight="1" x14ac:dyDescent="0.35">
      <c r="A6" s="41" t="s">
        <v>573</v>
      </c>
      <c r="B6" s="41"/>
      <c r="C6" s="83" t="s">
        <v>1208</v>
      </c>
      <c r="D6" s="83"/>
      <c r="E6" s="83"/>
      <c r="F6" s="41"/>
      <c r="G6" s="30"/>
    </row>
    <row r="7" spans="1:16" ht="21.6" customHeight="1" x14ac:dyDescent="0.35">
      <c r="A7" s="84" t="s">
        <v>540</v>
      </c>
      <c r="B7" s="84"/>
      <c r="C7" s="84"/>
      <c r="D7" s="30"/>
      <c r="E7" s="30"/>
      <c r="F7" s="41" t="s">
        <v>244</v>
      </c>
      <c r="G7" s="30"/>
    </row>
    <row r="8" spans="1:16" ht="21.6" customHeight="1" x14ac:dyDescent="0.35">
      <c r="A8" s="41" t="s">
        <v>570</v>
      </c>
      <c r="B8" s="41"/>
      <c r="C8" s="41"/>
      <c r="D8" s="30"/>
      <c r="E8" s="30"/>
      <c r="F8" s="30"/>
      <c r="G8" s="30"/>
    </row>
    <row r="9" spans="1:16" x14ac:dyDescent="0.35">
      <c r="A9" s="30"/>
      <c r="B9" s="30"/>
      <c r="C9" s="30"/>
      <c r="D9" s="30"/>
      <c r="E9" s="30" t="s">
        <v>563</v>
      </c>
      <c r="F9" s="41"/>
      <c r="G9" s="30"/>
    </row>
    <row r="10" spans="1:16" s="44" customFormat="1" ht="44.25" customHeight="1" x14ac:dyDescent="0.3">
      <c r="A10" s="52" t="s">
        <v>541</v>
      </c>
      <c r="B10" s="52" t="s">
        <v>549</v>
      </c>
      <c r="C10" s="52" t="s">
        <v>568</v>
      </c>
      <c r="D10" s="52" t="s">
        <v>542</v>
      </c>
      <c r="E10" s="52" t="s">
        <v>5</v>
      </c>
      <c r="F10" s="52" t="s">
        <v>543</v>
      </c>
      <c r="G10" s="52" t="s">
        <v>6</v>
      </c>
      <c r="H10" s="44" t="s">
        <v>244</v>
      </c>
      <c r="I10"/>
      <c r="J10"/>
      <c r="K10"/>
      <c r="L10"/>
      <c r="M10"/>
      <c r="N10"/>
      <c r="O10"/>
    </row>
    <row r="11" spans="1:16" s="44" customFormat="1" ht="24" customHeight="1" x14ac:dyDescent="0.3">
      <c r="A11" s="45">
        <v>1</v>
      </c>
      <c r="B11" s="50" t="s">
        <v>600</v>
      </c>
      <c r="C11" s="45" t="str">
        <f t="shared" ref="C11:C18" si="0">IFERROR(VLOOKUP(B11,khoson,2,0),"")</f>
        <v/>
      </c>
      <c r="D11" s="45" t="str">
        <f t="shared" ref="D11:D18" si="1">IFERROR(VLOOKUP(B11,khoson,3,0),"")</f>
        <v/>
      </c>
      <c r="E11" s="51">
        <v>40</v>
      </c>
      <c r="F11" s="46" t="str">
        <f t="shared" ref="F11:F18" si="2">IFERROR(VLOOKUP(B11,khoson,4,0),"")</f>
        <v/>
      </c>
      <c r="G11" s="47" t="e">
        <f>F11*E11</f>
        <v>#VALUE!</v>
      </c>
      <c r="I11"/>
      <c r="J11"/>
      <c r="K11"/>
      <c r="L11"/>
      <c r="M11"/>
      <c r="N11"/>
      <c r="O11"/>
    </row>
    <row r="12" spans="1:16" s="44" customFormat="1" ht="24" customHeight="1" x14ac:dyDescent="0.3">
      <c r="A12" s="45">
        <v>2</v>
      </c>
      <c r="B12" s="50" t="s">
        <v>601</v>
      </c>
      <c r="C12" s="45" t="str">
        <f t="shared" si="0"/>
        <v/>
      </c>
      <c r="D12" s="45" t="str">
        <f t="shared" si="1"/>
        <v/>
      </c>
      <c r="E12" s="51">
        <v>5</v>
      </c>
      <c r="F12" s="46" t="str">
        <f t="shared" si="2"/>
        <v/>
      </c>
      <c r="G12" s="47" t="e">
        <f>F12*E12</f>
        <v>#VALUE!</v>
      </c>
      <c r="I12"/>
      <c r="J12" s="1"/>
      <c r="K12" s="1"/>
      <c r="L12" s="1"/>
      <c r="M12" s="1"/>
      <c r="N12" s="1"/>
      <c r="O12" s="1"/>
      <c r="P12" s="1"/>
    </row>
    <row r="13" spans="1:16" s="44" customFormat="1" ht="24" customHeight="1" x14ac:dyDescent="0.3">
      <c r="A13" s="45">
        <v>3</v>
      </c>
      <c r="B13" s="50" t="s">
        <v>602</v>
      </c>
      <c r="C13" s="45" t="str">
        <f t="shared" si="0"/>
        <v/>
      </c>
      <c r="D13" s="45" t="str">
        <f t="shared" si="1"/>
        <v/>
      </c>
      <c r="E13" s="51">
        <v>2</v>
      </c>
      <c r="F13" s="46" t="str">
        <f t="shared" si="2"/>
        <v/>
      </c>
      <c r="G13" s="47" t="e">
        <f>F13*E13</f>
        <v>#VALUE!</v>
      </c>
      <c r="I13"/>
      <c r="J13" s="67"/>
      <c r="K13" s="1"/>
      <c r="L13" s="1"/>
      <c r="M13" s="1"/>
      <c r="N13" s="1"/>
      <c r="O13" s="1"/>
      <c r="P13" s="1"/>
    </row>
    <row r="14" spans="1:16" s="44" customFormat="1" ht="24" customHeight="1" x14ac:dyDescent="0.3">
      <c r="A14" s="45">
        <v>4</v>
      </c>
      <c r="B14" s="50" t="s">
        <v>1210</v>
      </c>
      <c r="C14" s="45" t="str">
        <f t="shared" si="0"/>
        <v/>
      </c>
      <c r="D14" s="45" t="str">
        <f t="shared" si="1"/>
        <v/>
      </c>
      <c r="E14" s="51">
        <v>5</v>
      </c>
      <c r="F14" s="46" t="str">
        <f t="shared" si="2"/>
        <v/>
      </c>
      <c r="G14" s="47" t="e">
        <f t="shared" ref="G14:G18" si="3">F14*E14</f>
        <v>#VALUE!</v>
      </c>
      <c r="I14"/>
      <c r="J14" s="67"/>
      <c r="K14" s="1"/>
      <c r="L14" s="1"/>
      <c r="M14" s="1"/>
      <c r="N14" s="1"/>
      <c r="O14" s="1"/>
      <c r="P14" s="1"/>
    </row>
    <row r="15" spans="1:16" s="44" customFormat="1" ht="24" customHeight="1" x14ac:dyDescent="0.3">
      <c r="A15" s="45">
        <v>5</v>
      </c>
      <c r="B15" s="50" t="s">
        <v>596</v>
      </c>
      <c r="C15" s="45" t="str">
        <f t="shared" si="0"/>
        <v/>
      </c>
      <c r="D15" s="45" t="str">
        <f t="shared" si="1"/>
        <v/>
      </c>
      <c r="E15" s="51">
        <v>4</v>
      </c>
      <c r="F15" s="46" t="str">
        <f t="shared" si="2"/>
        <v/>
      </c>
      <c r="G15" s="47" t="e">
        <f t="shared" si="3"/>
        <v>#VALUE!</v>
      </c>
      <c r="I15"/>
      <c r="J15" s="67"/>
      <c r="K15" s="1"/>
      <c r="L15" s="1"/>
      <c r="M15" s="1"/>
      <c r="N15" s="1"/>
      <c r="O15" s="1"/>
      <c r="P15" s="1"/>
    </row>
    <row r="16" spans="1:16" s="44" customFormat="1" ht="24" customHeight="1" x14ac:dyDescent="0.3">
      <c r="A16" s="45">
        <v>6</v>
      </c>
      <c r="B16" s="50" t="s">
        <v>1141</v>
      </c>
      <c r="C16" s="45" t="str">
        <f t="shared" si="0"/>
        <v>Xang2</v>
      </c>
      <c r="D16" s="45" t="str">
        <f t="shared" si="1"/>
        <v>Kg</v>
      </c>
      <c r="E16" s="51">
        <v>20</v>
      </c>
      <c r="F16" s="46">
        <f t="shared" si="2"/>
        <v>55000</v>
      </c>
      <c r="G16" s="47">
        <f t="shared" si="3"/>
        <v>1100000</v>
      </c>
      <c r="I16"/>
      <c r="J16" s="67"/>
      <c r="K16" s="1"/>
      <c r="L16" s="1"/>
      <c r="M16" s="1"/>
      <c r="N16" s="1"/>
      <c r="O16" s="1"/>
      <c r="P16" s="1"/>
    </row>
    <row r="17" spans="1:22" s="44" customFormat="1" ht="24" customHeight="1" x14ac:dyDescent="0.3">
      <c r="A17" s="45">
        <v>7</v>
      </c>
      <c r="B17" s="50" t="s">
        <v>1211</v>
      </c>
      <c r="C17" s="45" t="str">
        <f t="shared" si="0"/>
        <v>Hộp nhựa to</v>
      </c>
      <c r="D17" s="45" t="str">
        <f t="shared" si="1"/>
        <v>Hộp</v>
      </c>
      <c r="E17" s="51">
        <v>3</v>
      </c>
      <c r="F17" s="46">
        <f t="shared" si="2"/>
        <v>15000</v>
      </c>
      <c r="G17" s="47">
        <f t="shared" si="3"/>
        <v>45000</v>
      </c>
      <c r="I17"/>
      <c r="J17" s="67"/>
      <c r="K17" s="1"/>
      <c r="L17" s="1"/>
      <c r="M17" s="1"/>
      <c r="N17" s="1"/>
      <c r="O17" s="1"/>
      <c r="P17" s="1"/>
    </row>
    <row r="18" spans="1:22" s="44" customFormat="1" ht="24" customHeight="1" x14ac:dyDescent="0.3">
      <c r="A18" s="45">
        <v>8</v>
      </c>
      <c r="B18" s="50" t="s">
        <v>1207</v>
      </c>
      <c r="C18" s="45" t="str">
        <f t="shared" si="0"/>
        <v>Hộp nhựa nhỏ</v>
      </c>
      <c r="D18" s="45" t="str">
        <f t="shared" si="1"/>
        <v>Hộp</v>
      </c>
      <c r="E18" s="51">
        <v>1</v>
      </c>
      <c r="F18" s="46">
        <f t="shared" si="2"/>
        <v>10000</v>
      </c>
      <c r="G18" s="47">
        <f t="shared" si="3"/>
        <v>10000</v>
      </c>
      <c r="I18"/>
      <c r="J18" s="67"/>
      <c r="K18" s="1"/>
      <c r="L18" s="1"/>
      <c r="M18" s="1"/>
      <c r="N18" s="1"/>
      <c r="O18" s="1"/>
      <c r="P18" s="1"/>
    </row>
    <row r="19" spans="1:22" ht="21" customHeight="1" x14ac:dyDescent="0.35">
      <c r="A19" s="76" t="s">
        <v>574</v>
      </c>
      <c r="B19" s="77"/>
      <c r="C19" s="77"/>
      <c r="D19" s="77"/>
      <c r="E19" s="77"/>
      <c r="F19" s="78"/>
      <c r="G19" s="49" t="e">
        <f>SUM(G11:G18)</f>
        <v>#VALUE!</v>
      </c>
      <c r="H19" s="44"/>
      <c r="J19" s="68"/>
      <c r="K19" s="22"/>
      <c r="L19" s="1"/>
      <c r="M19" s="1"/>
      <c r="N19" s="1"/>
      <c r="O19" s="2"/>
      <c r="P19" s="1"/>
      <c r="Q19" s="44"/>
      <c r="R19" s="44"/>
      <c r="S19" s="44"/>
      <c r="T19" s="44"/>
      <c r="U19" s="44"/>
      <c r="V19" s="44"/>
    </row>
    <row r="20" spans="1:22" ht="21" customHeight="1" x14ac:dyDescent="0.35">
      <c r="A20" s="76" t="s">
        <v>544</v>
      </c>
      <c r="B20" s="77"/>
      <c r="C20" s="77"/>
      <c r="D20" s="77"/>
      <c r="E20" s="77"/>
      <c r="F20" s="78"/>
      <c r="G20" s="48" t="e">
        <f>G19</f>
        <v>#VALUE!</v>
      </c>
      <c r="H20" s="44"/>
      <c r="J20" s="68"/>
      <c r="K20" s="22"/>
      <c r="L20" s="1"/>
      <c r="M20" s="1"/>
      <c r="N20" s="1"/>
      <c r="O20" s="2"/>
      <c r="P20" s="1"/>
      <c r="Q20" s="44"/>
      <c r="R20" s="44"/>
      <c r="S20" s="44"/>
      <c r="T20" s="44"/>
      <c r="U20" s="44"/>
      <c r="V20" s="44"/>
    </row>
    <row r="21" spans="1:22" ht="24.75" customHeight="1" x14ac:dyDescent="0.35">
      <c r="A21" s="42" t="s">
        <v>545</v>
      </c>
      <c r="B21" s="38"/>
      <c r="C21" s="30"/>
      <c r="D21" s="30"/>
      <c r="E21" s="30"/>
      <c r="F21" s="41"/>
      <c r="G21" s="30" t="s">
        <v>563</v>
      </c>
      <c r="H21" s="44"/>
      <c r="P21" s="44"/>
      <c r="Q21" s="44"/>
      <c r="R21" s="44"/>
      <c r="S21" s="44"/>
      <c r="T21" s="44"/>
      <c r="U21" s="44"/>
      <c r="V21" s="44"/>
    </row>
    <row r="22" spans="1:22" ht="27" customHeight="1" x14ac:dyDescent="0.35">
      <c r="A22" s="30"/>
      <c r="B22" s="30"/>
      <c r="C22" s="30"/>
      <c r="D22" s="30"/>
      <c r="E22" s="66" t="s">
        <v>1150</v>
      </c>
      <c r="F22" s="66"/>
      <c r="G22" s="66"/>
      <c r="H22" s="44"/>
      <c r="P22" s="44"/>
      <c r="Q22" s="44"/>
      <c r="R22" s="44"/>
      <c r="S22" s="44"/>
      <c r="T22" s="44"/>
      <c r="U22" s="44"/>
      <c r="V22" s="44"/>
    </row>
    <row r="23" spans="1:22" ht="22.2" customHeight="1" x14ac:dyDescent="0.35">
      <c r="A23" s="79" t="s">
        <v>349</v>
      </c>
      <c r="B23" s="79"/>
      <c r="C23" s="53" t="s">
        <v>547</v>
      </c>
      <c r="D23" s="79" t="s">
        <v>548</v>
      </c>
      <c r="E23" s="79"/>
      <c r="F23" s="79" t="s">
        <v>199</v>
      </c>
      <c r="G23" s="79"/>
      <c r="H23" s="44"/>
      <c r="P23" s="44"/>
      <c r="Q23" s="44"/>
      <c r="R23" s="44"/>
      <c r="S23" s="44"/>
      <c r="T23" s="44"/>
      <c r="U23" s="44"/>
      <c r="V23" s="44"/>
    </row>
    <row r="24" spans="1:22" ht="22.2" customHeight="1" x14ac:dyDescent="0.35">
      <c r="A24" s="79" t="s">
        <v>546</v>
      </c>
      <c r="B24" s="79"/>
      <c r="C24" s="53" t="s">
        <v>546</v>
      </c>
      <c r="D24" s="79" t="s">
        <v>546</v>
      </c>
      <c r="E24" s="79"/>
      <c r="F24" s="79" t="s">
        <v>546</v>
      </c>
      <c r="G24" s="79"/>
      <c r="H24" s="44"/>
      <c r="P24" s="44"/>
      <c r="Q24" s="44"/>
      <c r="R24" s="44"/>
      <c r="S24" s="44"/>
      <c r="T24" s="44"/>
      <c r="U24" s="44"/>
      <c r="V24" s="44"/>
    </row>
    <row r="25" spans="1:22" ht="30" customHeight="1" x14ac:dyDescent="0.35">
      <c r="A25" s="30"/>
      <c r="B25" s="30"/>
      <c r="C25" s="30"/>
      <c r="D25" s="30"/>
      <c r="E25" s="30"/>
      <c r="F25" s="41"/>
      <c r="G25" s="30"/>
      <c r="H25" s="44"/>
    </row>
    <row r="26" spans="1:22" x14ac:dyDescent="0.35">
      <c r="A26" s="30"/>
      <c r="B26" s="30"/>
      <c r="C26" s="30"/>
      <c r="D26" s="30"/>
      <c r="E26" s="30"/>
      <c r="F26" s="41"/>
      <c r="G26" s="30"/>
      <c r="H26" s="44"/>
    </row>
    <row r="27" spans="1:22" x14ac:dyDescent="0.35">
      <c r="A27" s="30"/>
      <c r="B27" s="30"/>
      <c r="C27" s="30"/>
      <c r="D27" s="30"/>
      <c r="E27" s="30"/>
      <c r="F27" s="41"/>
      <c r="G27" s="30"/>
      <c r="H27" s="44"/>
    </row>
    <row r="28" spans="1:22" x14ac:dyDescent="0.35">
      <c r="A28" s="30"/>
      <c r="B28" s="30"/>
      <c r="C28" s="30"/>
      <c r="D28" s="30"/>
      <c r="G28" s="30"/>
      <c r="H28" s="44"/>
    </row>
    <row r="29" spans="1:22" x14ac:dyDescent="0.35">
      <c r="A29" s="30"/>
      <c r="B29" s="30"/>
      <c r="C29" s="30"/>
      <c r="D29" s="30"/>
      <c r="G29" s="30"/>
    </row>
    <row r="30" spans="1:22" x14ac:dyDescent="0.35">
      <c r="A30" s="30"/>
      <c r="B30" s="30"/>
      <c r="C30" s="30"/>
      <c r="D30" s="30"/>
      <c r="E30" s="30"/>
      <c r="F30" s="41"/>
      <c r="G30" s="30"/>
    </row>
    <row r="31" spans="1:22" x14ac:dyDescent="0.35">
      <c r="A31" s="30"/>
      <c r="B31" s="30"/>
      <c r="C31" s="30"/>
      <c r="D31" s="30"/>
      <c r="E31" s="30"/>
      <c r="F31" s="41"/>
      <c r="G31" s="30"/>
    </row>
    <row r="32" spans="1:22" x14ac:dyDescent="0.35">
      <c r="A32" s="30"/>
      <c r="B32" s="30"/>
      <c r="C32" s="30"/>
      <c r="D32" s="30"/>
      <c r="E32" s="30"/>
      <c r="F32" s="41"/>
      <c r="G32" s="30"/>
    </row>
    <row r="33" spans="1:7" x14ac:dyDescent="0.35">
      <c r="A33" s="30"/>
      <c r="B33" s="30"/>
      <c r="C33" s="30"/>
      <c r="D33" s="30"/>
      <c r="E33" s="30"/>
      <c r="F33" s="41"/>
      <c r="G33" s="30"/>
    </row>
    <row r="34" spans="1:7" x14ac:dyDescent="0.35">
      <c r="A34" s="30"/>
      <c r="B34" s="30"/>
      <c r="C34" s="30"/>
      <c r="D34" s="30"/>
      <c r="E34" s="30"/>
      <c r="F34" s="41"/>
      <c r="G34" s="30"/>
    </row>
    <row r="35" spans="1:7" x14ac:dyDescent="0.35">
      <c r="A35" s="1"/>
      <c r="B35" s="1"/>
      <c r="C35" s="1"/>
      <c r="D35" s="1"/>
      <c r="E35" s="1"/>
      <c r="F35" s="41"/>
      <c r="G35" s="1"/>
    </row>
    <row r="36" spans="1:7" x14ac:dyDescent="0.35">
      <c r="A36" s="1"/>
      <c r="B36" s="1"/>
      <c r="C36" s="1"/>
      <c r="D36" s="1"/>
      <c r="E36" s="1"/>
      <c r="F36" s="41"/>
      <c r="G36" s="1"/>
    </row>
    <row r="37" spans="1:7" x14ac:dyDescent="0.35">
      <c r="A37" s="1"/>
      <c r="B37" s="1"/>
      <c r="C37" s="1"/>
      <c r="D37" s="1"/>
      <c r="E37" s="1"/>
      <c r="F37" s="41"/>
      <c r="G37" s="1"/>
    </row>
    <row r="38" spans="1:7" x14ac:dyDescent="0.35">
      <c r="A38" s="1"/>
      <c r="B38" s="1"/>
      <c r="C38" s="1"/>
      <c r="D38" s="1"/>
      <c r="E38" s="1"/>
      <c r="F38" s="41"/>
      <c r="G38" s="1"/>
    </row>
    <row r="39" spans="1:7" x14ac:dyDescent="0.35">
      <c r="A39" s="1"/>
      <c r="B39" s="1"/>
      <c r="C39" s="1"/>
      <c r="D39" s="1"/>
      <c r="E39" s="1"/>
      <c r="F39" s="41"/>
      <c r="G39" s="1"/>
    </row>
    <row r="40" spans="1:7" x14ac:dyDescent="0.35">
      <c r="A40" s="1"/>
      <c r="B40" s="1"/>
      <c r="C40" s="1"/>
      <c r="D40" s="1"/>
      <c r="E40" s="1"/>
      <c r="F40" s="41"/>
      <c r="G40" s="1"/>
    </row>
    <row r="41" spans="1:7" x14ac:dyDescent="0.35">
      <c r="A41" s="1"/>
      <c r="B41" s="1"/>
      <c r="C41" s="1"/>
      <c r="D41" s="1"/>
      <c r="E41" s="1"/>
      <c r="F41" s="41"/>
      <c r="G41" s="1"/>
    </row>
  </sheetData>
  <mergeCells count="13">
    <mergeCell ref="A20:F20"/>
    <mergeCell ref="A23:B23"/>
    <mergeCell ref="D23:E23"/>
    <mergeCell ref="F23:G23"/>
    <mergeCell ref="A24:B24"/>
    <mergeCell ref="D24:E24"/>
    <mergeCell ref="F24:G24"/>
    <mergeCell ref="A19:F19"/>
    <mergeCell ref="A3:B3"/>
    <mergeCell ref="A4:G4"/>
    <mergeCell ref="A5:G5"/>
    <mergeCell ref="C6:E6"/>
    <mergeCell ref="A7:C7"/>
  </mergeCells>
  <phoneticPr fontId="28" type="noConversion"/>
  <pageMargins left="0.4" right="0.23" top="0.31" bottom="0.16" header="0.3" footer="0.3"/>
  <pageSetup paperSize="9" scale="84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C2D18-F131-472B-86DC-855290AE4CC3}">
  <sheetPr>
    <pageSetUpPr fitToPage="1"/>
  </sheetPr>
  <dimension ref="A1:V36"/>
  <sheetViews>
    <sheetView workbookViewId="0">
      <selection activeCell="F11" sqref="F11"/>
    </sheetView>
  </sheetViews>
  <sheetFormatPr defaultRowHeight="18" x14ac:dyDescent="0.35"/>
  <cols>
    <col min="1" max="1" width="6.88671875" customWidth="1"/>
    <col min="2" max="2" width="23.33203125" customWidth="1"/>
    <col min="3" max="3" width="30.5546875" customWidth="1"/>
    <col min="4" max="4" width="10.109375" customWidth="1"/>
    <col min="5" max="5" width="14.6640625" customWidth="1"/>
    <col min="6" max="6" width="14" style="43" customWidth="1"/>
    <col min="7" max="7" width="15.109375" customWidth="1"/>
    <col min="8" max="8" width="16.44140625" customWidth="1"/>
    <col min="10" max="10" width="10.109375" bestFit="1" customWidth="1"/>
  </cols>
  <sheetData>
    <row r="1" spans="1:22" ht="22.5" customHeight="1" x14ac:dyDescent="0.35">
      <c r="A1" s="41" t="s">
        <v>538</v>
      </c>
      <c r="B1" s="41"/>
      <c r="C1" s="41"/>
      <c r="D1" s="30"/>
      <c r="E1" s="30"/>
      <c r="F1" s="41"/>
      <c r="G1" s="30"/>
    </row>
    <row r="2" spans="1:22" ht="18.600000000000001" customHeight="1" x14ac:dyDescent="0.35">
      <c r="A2" s="41" t="s">
        <v>998</v>
      </c>
      <c r="B2" s="41"/>
      <c r="C2" s="41"/>
      <c r="D2" s="30"/>
      <c r="E2" s="30"/>
      <c r="F2" s="41"/>
      <c r="G2" s="30"/>
    </row>
    <row r="3" spans="1:22" x14ac:dyDescent="0.35">
      <c r="A3" s="80">
        <f ca="1">NOW()</f>
        <v>46273.708471180558</v>
      </c>
      <c r="B3" s="80"/>
      <c r="C3" s="30"/>
      <c r="D3" s="30"/>
      <c r="E3" s="30"/>
      <c r="F3" s="41"/>
      <c r="G3" s="30"/>
    </row>
    <row r="4" spans="1:22" ht="26.4" customHeight="1" x14ac:dyDescent="0.3">
      <c r="A4" s="81" t="s">
        <v>539</v>
      </c>
      <c r="B4" s="81"/>
      <c r="C4" s="81"/>
      <c r="D4" s="81"/>
      <c r="E4" s="81"/>
      <c r="F4" s="81"/>
      <c r="G4" s="81"/>
    </row>
    <row r="5" spans="1:22" ht="20.25" customHeight="1" x14ac:dyDescent="0.3">
      <c r="A5" s="82" t="s">
        <v>1235</v>
      </c>
      <c r="B5" s="82"/>
      <c r="C5" s="82"/>
      <c r="D5" s="82"/>
      <c r="E5" s="82"/>
      <c r="F5" s="82"/>
      <c r="G5" s="82"/>
    </row>
    <row r="6" spans="1:22" ht="21.6" customHeight="1" x14ac:dyDescent="0.35">
      <c r="A6" s="41" t="s">
        <v>573</v>
      </c>
      <c r="B6" s="41"/>
      <c r="C6" s="83"/>
      <c r="D6" s="83"/>
      <c r="E6" s="83"/>
      <c r="F6" s="41"/>
      <c r="G6" s="30"/>
    </row>
    <row r="7" spans="1:22" ht="21.6" customHeight="1" x14ac:dyDescent="0.35">
      <c r="A7" s="84" t="s">
        <v>540</v>
      </c>
      <c r="B7" s="84"/>
      <c r="C7" s="84"/>
      <c r="D7" s="30"/>
      <c r="E7" s="30"/>
      <c r="F7" s="41" t="s">
        <v>244</v>
      </c>
      <c r="G7" s="30"/>
    </row>
    <row r="8" spans="1:22" ht="21.6" customHeight="1" x14ac:dyDescent="0.35">
      <c r="A8" s="41" t="s">
        <v>570</v>
      </c>
      <c r="B8" s="41"/>
      <c r="C8" s="41"/>
      <c r="D8" s="30"/>
      <c r="E8" s="30"/>
      <c r="F8" s="30"/>
      <c r="G8" s="30"/>
    </row>
    <row r="9" spans="1:22" x14ac:dyDescent="0.35">
      <c r="A9" s="30"/>
      <c r="B9" s="30"/>
      <c r="C9" s="30"/>
      <c r="D9" s="30"/>
      <c r="E9" s="30" t="s">
        <v>563</v>
      </c>
      <c r="F9" s="41"/>
      <c r="G9" s="30"/>
    </row>
    <row r="10" spans="1:22" s="44" customFormat="1" ht="44.25" customHeight="1" x14ac:dyDescent="0.3">
      <c r="A10" s="52" t="s">
        <v>541</v>
      </c>
      <c r="B10" s="52" t="s">
        <v>549</v>
      </c>
      <c r="C10" s="52" t="s">
        <v>568</v>
      </c>
      <c r="D10" s="52" t="s">
        <v>542</v>
      </c>
      <c r="E10" s="52" t="s">
        <v>5</v>
      </c>
      <c r="F10" s="52" t="s">
        <v>543</v>
      </c>
      <c r="G10" s="52" t="s">
        <v>6</v>
      </c>
      <c r="H10" s="44" t="s">
        <v>244</v>
      </c>
      <c r="I10"/>
      <c r="J10"/>
      <c r="K10"/>
      <c r="L10"/>
      <c r="M10"/>
      <c r="N10"/>
      <c r="O10"/>
    </row>
    <row r="11" spans="1:22" s="44" customFormat="1" ht="24" customHeight="1" x14ac:dyDescent="0.3">
      <c r="A11" s="45">
        <v>1</v>
      </c>
      <c r="B11" s="50" t="s">
        <v>1139</v>
      </c>
      <c r="C11" s="45" t="str">
        <f>IFERROR(VLOOKUP(B11,khoson,2,0),"")</f>
        <v>Pu trong</v>
      </c>
      <c r="D11" s="45" t="str">
        <f>IFERROR(VLOOKUP(B11,khoson,3,0),"")</f>
        <v>Kg</v>
      </c>
      <c r="E11" s="51">
        <v>60</v>
      </c>
      <c r="F11" s="46">
        <f>IFERROR(VLOOKUP(B11,khoson,4,0),"")</f>
        <v>120000</v>
      </c>
      <c r="G11" s="47">
        <f>F11*E11</f>
        <v>7200000</v>
      </c>
      <c r="I11"/>
      <c r="J11"/>
      <c r="K11"/>
      <c r="L11"/>
      <c r="M11"/>
      <c r="N11"/>
      <c r="O11"/>
    </row>
    <row r="12" spans="1:22" s="44" customFormat="1" ht="24" customHeight="1" x14ac:dyDescent="0.3">
      <c r="A12" s="45">
        <v>2</v>
      </c>
      <c r="B12" s="50" t="s">
        <v>1140</v>
      </c>
      <c r="C12" s="45" t="str">
        <f>IFERROR(VLOOKUP(B12,khoson,2,0),"")</f>
        <v>Cứng pu</v>
      </c>
      <c r="D12" s="45" t="str">
        <f>IFERROR(VLOOKUP(B12,khoson,3,0),"")</f>
        <v>Kg</v>
      </c>
      <c r="E12" s="51">
        <v>20</v>
      </c>
      <c r="F12" s="46">
        <f>IFERROR(VLOOKUP(B12,khoson,4,0),"")</f>
        <v>120000</v>
      </c>
      <c r="G12" s="47">
        <f>F12*E12</f>
        <v>2400000</v>
      </c>
      <c r="I12"/>
      <c r="J12" s="1"/>
      <c r="K12" s="1"/>
      <c r="L12" s="1"/>
      <c r="M12" s="1"/>
      <c r="N12" s="1"/>
      <c r="O12" s="1"/>
      <c r="P12" s="1"/>
    </row>
    <row r="13" spans="1:22" s="44" customFormat="1" ht="24" customHeight="1" x14ac:dyDescent="0.3">
      <c r="A13" s="45">
        <v>3</v>
      </c>
      <c r="B13" s="50" t="s">
        <v>1141</v>
      </c>
      <c r="C13" s="45" t="str">
        <f>IFERROR(VLOOKUP(B13,khoson,2,0),"")</f>
        <v>Xang2</v>
      </c>
      <c r="D13" s="45" t="str">
        <f>IFERROR(VLOOKUP(B13,khoson,3,0),"")</f>
        <v>Kg</v>
      </c>
      <c r="E13" s="51">
        <v>20</v>
      </c>
      <c r="F13" s="46">
        <f>IFERROR(VLOOKUP(B13,khoson,4,0),"")</f>
        <v>55000</v>
      </c>
      <c r="G13" s="47">
        <f>F13*E13</f>
        <v>1100000</v>
      </c>
      <c r="I13"/>
      <c r="J13" s="1"/>
      <c r="K13" s="1"/>
      <c r="L13" s="1"/>
      <c r="M13" s="1"/>
      <c r="N13" s="1"/>
      <c r="O13" s="1"/>
      <c r="P13" s="1"/>
    </row>
    <row r="14" spans="1:22" ht="21" customHeight="1" x14ac:dyDescent="0.35">
      <c r="A14" s="76" t="s">
        <v>574</v>
      </c>
      <c r="B14" s="77"/>
      <c r="C14" s="77"/>
      <c r="D14" s="77"/>
      <c r="E14" s="77"/>
      <c r="F14" s="78"/>
      <c r="G14" s="49">
        <f>SUM(G11:G13)</f>
        <v>10700000</v>
      </c>
      <c r="H14" s="44"/>
      <c r="J14" s="68"/>
      <c r="K14" s="22"/>
      <c r="L14" s="1"/>
      <c r="M14" s="1"/>
      <c r="N14" s="1"/>
      <c r="O14" s="2"/>
      <c r="P14" s="1"/>
      <c r="Q14" s="44"/>
      <c r="R14" s="44"/>
      <c r="S14" s="44"/>
      <c r="T14" s="44"/>
      <c r="U14" s="44"/>
      <c r="V14" s="44"/>
    </row>
    <row r="15" spans="1:22" ht="21" customHeight="1" x14ac:dyDescent="0.35">
      <c r="A15" s="76" t="s">
        <v>544</v>
      </c>
      <c r="B15" s="77"/>
      <c r="C15" s="77"/>
      <c r="D15" s="77"/>
      <c r="E15" s="77"/>
      <c r="F15" s="78"/>
      <c r="G15" s="48">
        <f>G14</f>
        <v>10700000</v>
      </c>
      <c r="H15" s="44"/>
      <c r="J15" s="68"/>
      <c r="K15" s="22"/>
      <c r="L15" s="1"/>
      <c r="M15" s="1"/>
      <c r="N15" s="1"/>
      <c r="O15" s="2"/>
      <c r="P15" s="1"/>
      <c r="Q15" s="44"/>
      <c r="R15" s="44"/>
      <c r="S15" s="44"/>
      <c r="T15" s="44"/>
      <c r="U15" s="44"/>
      <c r="V15" s="44"/>
    </row>
    <row r="16" spans="1:22" ht="24.75" customHeight="1" x14ac:dyDescent="0.35">
      <c r="A16" s="42" t="s">
        <v>545</v>
      </c>
      <c r="B16" s="38"/>
      <c r="C16" s="30"/>
      <c r="D16" s="30"/>
      <c r="E16" s="30"/>
      <c r="F16" s="41"/>
      <c r="G16" s="30" t="s">
        <v>563</v>
      </c>
      <c r="H16" s="44"/>
      <c r="P16" s="44"/>
      <c r="Q16" s="44"/>
      <c r="R16" s="44"/>
      <c r="S16" s="44"/>
      <c r="T16" s="44"/>
      <c r="U16" s="44"/>
      <c r="V16" s="44"/>
    </row>
    <row r="17" spans="1:22" ht="27" customHeight="1" x14ac:dyDescent="0.35">
      <c r="A17" s="30"/>
      <c r="B17" s="30"/>
      <c r="C17" s="30"/>
      <c r="D17" s="30"/>
      <c r="E17" s="66" t="s">
        <v>1150</v>
      </c>
      <c r="F17" s="66"/>
      <c r="G17" s="66"/>
      <c r="H17" s="44"/>
      <c r="P17" s="44"/>
      <c r="Q17" s="44"/>
      <c r="R17" s="44"/>
      <c r="S17" s="44"/>
      <c r="T17" s="44"/>
      <c r="U17" s="44"/>
      <c r="V17" s="44"/>
    </row>
    <row r="18" spans="1:22" ht="22.2" customHeight="1" x14ac:dyDescent="0.35">
      <c r="A18" s="79" t="s">
        <v>349</v>
      </c>
      <c r="B18" s="79"/>
      <c r="C18" s="53" t="s">
        <v>547</v>
      </c>
      <c r="D18" s="79" t="s">
        <v>548</v>
      </c>
      <c r="E18" s="79"/>
      <c r="F18" s="79" t="s">
        <v>199</v>
      </c>
      <c r="G18" s="79"/>
      <c r="H18" s="44"/>
      <c r="P18" s="44"/>
      <c r="Q18" s="44"/>
      <c r="R18" s="44"/>
      <c r="S18" s="44"/>
      <c r="T18" s="44"/>
      <c r="U18" s="44"/>
      <c r="V18" s="44"/>
    </row>
    <row r="19" spans="1:22" ht="22.2" customHeight="1" x14ac:dyDescent="0.35">
      <c r="A19" s="79" t="s">
        <v>546</v>
      </c>
      <c r="B19" s="79"/>
      <c r="C19" s="53" t="s">
        <v>546</v>
      </c>
      <c r="D19" s="79" t="s">
        <v>546</v>
      </c>
      <c r="E19" s="79"/>
      <c r="F19" s="79" t="s">
        <v>546</v>
      </c>
      <c r="G19" s="79"/>
      <c r="H19" s="44"/>
      <c r="P19" s="44"/>
      <c r="Q19" s="44"/>
      <c r="R19" s="44"/>
      <c r="S19" s="44"/>
      <c r="T19" s="44"/>
      <c r="U19" s="44"/>
      <c r="V19" s="44"/>
    </row>
    <row r="20" spans="1:22" ht="30" customHeight="1" x14ac:dyDescent="0.35">
      <c r="A20" s="30"/>
      <c r="B20" s="30"/>
      <c r="C20" s="30"/>
      <c r="D20" s="30"/>
      <c r="E20" s="30"/>
      <c r="F20" s="41"/>
      <c r="G20" s="30"/>
      <c r="H20" s="44"/>
    </row>
    <row r="21" spans="1:22" x14ac:dyDescent="0.35">
      <c r="A21" s="30"/>
      <c r="B21" s="30"/>
      <c r="C21" s="30"/>
      <c r="D21" s="30"/>
      <c r="E21" s="30"/>
      <c r="F21" s="41"/>
      <c r="G21" s="30"/>
      <c r="H21" s="44"/>
    </row>
    <row r="22" spans="1:22" x14ac:dyDescent="0.35">
      <c r="A22" s="30"/>
      <c r="B22" s="30"/>
      <c r="C22" s="30"/>
      <c r="D22" s="30"/>
      <c r="E22" s="30"/>
      <c r="F22" s="41"/>
      <c r="G22" s="30"/>
      <c r="H22" s="44"/>
    </row>
    <row r="23" spans="1:22" x14ac:dyDescent="0.35">
      <c r="A23" s="30"/>
      <c r="B23" s="30"/>
      <c r="C23" s="30"/>
      <c r="D23" s="30"/>
      <c r="G23" s="30"/>
      <c r="H23" s="44"/>
    </row>
    <row r="24" spans="1:22" x14ac:dyDescent="0.35">
      <c r="A24" s="30"/>
      <c r="B24" s="30"/>
      <c r="C24" s="30"/>
      <c r="D24" s="30"/>
      <c r="G24" s="30"/>
    </row>
    <row r="25" spans="1:22" x14ac:dyDescent="0.35">
      <c r="A25" s="30"/>
      <c r="B25" s="30"/>
      <c r="C25" s="30"/>
      <c r="D25" s="30"/>
      <c r="E25" s="30"/>
      <c r="F25" s="41"/>
      <c r="G25" s="30"/>
    </row>
    <row r="26" spans="1:22" x14ac:dyDescent="0.35">
      <c r="A26" s="30"/>
      <c r="B26" s="30"/>
      <c r="C26" s="30"/>
      <c r="D26" s="30"/>
      <c r="E26" s="30"/>
      <c r="F26" s="41"/>
      <c r="G26" s="30"/>
    </row>
    <row r="27" spans="1:22" x14ac:dyDescent="0.35">
      <c r="A27" s="30"/>
      <c r="B27" s="30"/>
      <c r="C27" s="30"/>
      <c r="D27" s="30"/>
      <c r="E27" s="30"/>
      <c r="F27" s="41"/>
      <c r="G27" s="30"/>
    </row>
    <row r="28" spans="1:22" x14ac:dyDescent="0.35">
      <c r="A28" s="30"/>
      <c r="B28" s="30"/>
      <c r="C28" s="30"/>
      <c r="D28" s="30"/>
      <c r="E28" s="30"/>
      <c r="F28" s="41"/>
      <c r="G28" s="30"/>
    </row>
    <row r="29" spans="1:22" x14ac:dyDescent="0.35">
      <c r="A29" s="30"/>
      <c r="B29" s="30"/>
      <c r="C29" s="30"/>
      <c r="D29" s="30"/>
      <c r="E29" s="30"/>
      <c r="F29" s="41"/>
      <c r="G29" s="30"/>
    </row>
    <row r="30" spans="1:22" x14ac:dyDescent="0.35">
      <c r="A30" s="1"/>
      <c r="B30" s="1"/>
      <c r="C30" s="1"/>
      <c r="D30" s="1"/>
      <c r="E30" s="1"/>
      <c r="F30" s="41"/>
      <c r="G30" s="1"/>
    </row>
    <row r="31" spans="1:22" x14ac:dyDescent="0.35">
      <c r="A31" s="1"/>
      <c r="B31" s="1"/>
      <c r="C31" s="1"/>
      <c r="D31" s="1"/>
      <c r="E31" s="1"/>
      <c r="F31" s="41"/>
      <c r="G31" s="1"/>
    </row>
    <row r="32" spans="1:22" x14ac:dyDescent="0.35">
      <c r="A32" s="1"/>
      <c r="B32" s="1"/>
      <c r="C32" s="1"/>
      <c r="D32" s="1"/>
      <c r="E32" s="1"/>
      <c r="F32" s="41"/>
      <c r="G32" s="1"/>
    </row>
    <row r="33" spans="1:7" x14ac:dyDescent="0.35">
      <c r="A33" s="1"/>
      <c r="B33" s="1"/>
      <c r="C33" s="1"/>
      <c r="D33" s="1"/>
      <c r="E33" s="1"/>
      <c r="F33" s="41"/>
      <c r="G33" s="1"/>
    </row>
    <row r="34" spans="1:7" x14ac:dyDescent="0.35">
      <c r="A34" s="1"/>
      <c r="B34" s="1"/>
      <c r="C34" s="1"/>
      <c r="D34" s="1"/>
      <c r="E34" s="1"/>
      <c r="F34" s="41"/>
      <c r="G34" s="1"/>
    </row>
    <row r="35" spans="1:7" x14ac:dyDescent="0.35">
      <c r="A35" s="1"/>
      <c r="B35" s="1"/>
      <c r="C35" s="1"/>
      <c r="D35" s="1"/>
      <c r="E35" s="1"/>
      <c r="F35" s="41"/>
      <c r="G35" s="1"/>
    </row>
    <row r="36" spans="1:7" x14ac:dyDescent="0.35">
      <c r="A36" s="1"/>
      <c r="B36" s="1"/>
      <c r="C36" s="1"/>
      <c r="D36" s="1"/>
      <c r="E36" s="1"/>
      <c r="F36" s="41"/>
      <c r="G36" s="1"/>
    </row>
  </sheetData>
  <mergeCells count="13">
    <mergeCell ref="A19:B19"/>
    <mergeCell ref="D19:E19"/>
    <mergeCell ref="F19:G19"/>
    <mergeCell ref="A3:B3"/>
    <mergeCell ref="A4:G4"/>
    <mergeCell ref="A5:G5"/>
    <mergeCell ref="C6:E6"/>
    <mergeCell ref="A7:C7"/>
    <mergeCell ref="A14:F14"/>
    <mergeCell ref="A15:F15"/>
    <mergeCell ref="A18:B18"/>
    <mergeCell ref="D18:E18"/>
    <mergeCell ref="F18:G18"/>
  </mergeCells>
  <pageMargins left="0.4" right="0.23" top="0.31" bottom="0.16" header="0.3" footer="0.3"/>
  <pageSetup paperSize="9" scale="84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B3A9F-5376-4D0C-9F4C-8B7D17F77D07}">
  <sheetPr>
    <pageSetUpPr fitToPage="1"/>
  </sheetPr>
  <dimension ref="A1:V38"/>
  <sheetViews>
    <sheetView workbookViewId="0">
      <selection activeCell="G7" sqref="G7"/>
    </sheetView>
  </sheetViews>
  <sheetFormatPr defaultRowHeight="18" x14ac:dyDescent="0.35"/>
  <cols>
    <col min="1" max="1" width="6.88671875" customWidth="1"/>
    <col min="2" max="2" width="23.33203125" customWidth="1"/>
    <col min="3" max="3" width="30.5546875" customWidth="1"/>
    <col min="4" max="4" width="10.109375" customWidth="1"/>
    <col min="5" max="5" width="14.6640625" customWidth="1"/>
    <col min="6" max="6" width="14" style="43" customWidth="1"/>
    <col min="7" max="7" width="15.109375" customWidth="1"/>
    <col min="8" max="8" width="16.44140625" customWidth="1"/>
    <col min="10" max="10" width="10.109375" bestFit="1" customWidth="1"/>
  </cols>
  <sheetData>
    <row r="1" spans="1:22" ht="22.5" customHeight="1" x14ac:dyDescent="0.35">
      <c r="A1" s="41" t="s">
        <v>538</v>
      </c>
      <c r="B1" s="41"/>
      <c r="C1" s="41"/>
      <c r="D1" s="30"/>
      <c r="E1" s="30"/>
      <c r="F1" s="41"/>
      <c r="G1" s="30"/>
    </row>
    <row r="2" spans="1:22" ht="18.600000000000001" customHeight="1" x14ac:dyDescent="0.35">
      <c r="A2" s="41" t="s">
        <v>998</v>
      </c>
      <c r="B2" s="41"/>
      <c r="C2" s="41"/>
      <c r="D2" s="30"/>
      <c r="E2" s="30"/>
      <c r="F2" s="41"/>
      <c r="G2" s="30"/>
    </row>
    <row r="3" spans="1:22" x14ac:dyDescent="0.35">
      <c r="A3" s="80">
        <f ca="1">NOW()</f>
        <v>46273.708471180558</v>
      </c>
      <c r="B3" s="80"/>
      <c r="C3" s="30"/>
      <c r="D3" s="30"/>
      <c r="E3" s="30"/>
      <c r="F3" s="41"/>
      <c r="G3" s="30"/>
    </row>
    <row r="4" spans="1:22" ht="26.4" customHeight="1" x14ac:dyDescent="0.3">
      <c r="A4" s="81" t="s">
        <v>539</v>
      </c>
      <c r="B4" s="81"/>
      <c r="C4" s="81"/>
      <c r="D4" s="81"/>
      <c r="E4" s="81"/>
      <c r="F4" s="81"/>
      <c r="G4" s="81"/>
    </row>
    <row r="5" spans="1:22" ht="20.25" customHeight="1" x14ac:dyDescent="0.3">
      <c r="A5" s="82" t="s">
        <v>1268</v>
      </c>
      <c r="B5" s="82"/>
      <c r="C5" s="82"/>
      <c r="D5" s="82"/>
      <c r="E5" s="82"/>
      <c r="F5" s="82"/>
      <c r="G5" s="82"/>
    </row>
    <row r="6" spans="1:22" ht="21.6" customHeight="1" x14ac:dyDescent="0.35">
      <c r="A6" s="41" t="s">
        <v>573</v>
      </c>
      <c r="B6" s="41"/>
      <c r="C6" s="83" t="s">
        <v>1208</v>
      </c>
      <c r="D6" s="83"/>
      <c r="E6" s="83"/>
      <c r="F6" s="41"/>
      <c r="G6" s="30"/>
    </row>
    <row r="7" spans="1:22" ht="21.6" customHeight="1" x14ac:dyDescent="0.35">
      <c r="A7" s="84" t="s">
        <v>540</v>
      </c>
      <c r="B7" s="84"/>
      <c r="C7" s="84"/>
      <c r="D7" s="30"/>
      <c r="E7" s="30"/>
      <c r="F7" s="41" t="s">
        <v>244</v>
      </c>
      <c r="G7" s="30"/>
    </row>
    <row r="8" spans="1:22" ht="21.6" customHeight="1" x14ac:dyDescent="0.35">
      <c r="A8" s="41" t="s">
        <v>570</v>
      </c>
      <c r="B8" s="41"/>
      <c r="C8" s="41"/>
      <c r="D8" s="30"/>
      <c r="E8" s="30"/>
      <c r="F8" s="30"/>
      <c r="G8" s="30"/>
    </row>
    <row r="9" spans="1:22" x14ac:dyDescent="0.35">
      <c r="A9" s="30"/>
      <c r="B9" s="30"/>
      <c r="C9" s="30"/>
      <c r="D9" s="30"/>
      <c r="E9" s="30" t="s">
        <v>563</v>
      </c>
      <c r="F9" s="41"/>
      <c r="G9" s="30"/>
    </row>
    <row r="10" spans="1:22" s="44" customFormat="1" ht="44.25" customHeight="1" x14ac:dyDescent="0.3">
      <c r="A10" s="52" t="s">
        <v>541</v>
      </c>
      <c r="B10" s="52" t="s">
        <v>549</v>
      </c>
      <c r="C10" s="52" t="s">
        <v>568</v>
      </c>
      <c r="D10" s="52" t="s">
        <v>542</v>
      </c>
      <c r="E10" s="52" t="s">
        <v>5</v>
      </c>
      <c r="F10" s="52" t="s">
        <v>543</v>
      </c>
      <c r="G10" s="52" t="s">
        <v>6</v>
      </c>
      <c r="H10" s="44" t="s">
        <v>244</v>
      </c>
      <c r="I10"/>
      <c r="J10"/>
      <c r="K10"/>
      <c r="L10"/>
      <c r="M10"/>
      <c r="N10"/>
      <c r="O10"/>
    </row>
    <row r="11" spans="1:22" s="44" customFormat="1" ht="24" customHeight="1" x14ac:dyDescent="0.3">
      <c r="A11" s="45">
        <v>1</v>
      </c>
      <c r="B11" s="50" t="s">
        <v>1250</v>
      </c>
      <c r="C11" s="45" t="str">
        <f>IFERROR(VLOOKUP(B11,khoson,2,0),"")</f>
        <v>PU vàng cam</v>
      </c>
      <c r="D11" s="45" t="str">
        <f>IFERROR(VLOOKUP(B11,khoson,3,0),"")</f>
        <v>Kg</v>
      </c>
      <c r="E11" s="51">
        <v>5</v>
      </c>
      <c r="F11" s="46">
        <f>IFERROR(VLOOKUP(B11,khoson,4,0),"")</f>
        <v>160000</v>
      </c>
      <c r="G11" s="47">
        <f>F11*E11</f>
        <v>800000</v>
      </c>
      <c r="I11"/>
      <c r="J11"/>
      <c r="K11"/>
      <c r="L11"/>
      <c r="M11"/>
      <c r="N11"/>
      <c r="O11"/>
    </row>
    <row r="12" spans="1:22" s="44" customFormat="1" ht="24" customHeight="1" x14ac:dyDescent="0.3">
      <c r="A12" s="45">
        <v>2</v>
      </c>
      <c r="B12" s="50" t="s">
        <v>1253</v>
      </c>
      <c r="C12" s="45" t="str">
        <f>IFERROR(VLOOKUP(B12,khoson,2,0),"")</f>
        <v>PU xanh lá cây</v>
      </c>
      <c r="D12" s="45" t="str">
        <f>IFERROR(VLOOKUP(B12,khoson,3,0),"")</f>
        <v>Kg</v>
      </c>
      <c r="E12" s="51">
        <v>5</v>
      </c>
      <c r="F12" s="46">
        <f>IFERROR(VLOOKUP(B12,khoson,4,0),"")</f>
        <v>160000</v>
      </c>
      <c r="G12" s="47">
        <f>F12*E12</f>
        <v>800000</v>
      </c>
      <c r="I12"/>
      <c r="J12" s="1"/>
      <c r="K12" s="1"/>
      <c r="L12" s="1"/>
      <c r="M12" s="1"/>
      <c r="N12" s="1"/>
      <c r="O12" s="1"/>
      <c r="P12" s="1"/>
    </row>
    <row r="13" spans="1:22" s="44" customFormat="1" ht="24" customHeight="1" x14ac:dyDescent="0.3">
      <c r="A13" s="45">
        <v>3</v>
      </c>
      <c r="B13" s="50" t="s">
        <v>1252</v>
      </c>
      <c r="C13" s="45" t="str">
        <f>IFERROR(VLOOKUP(B13,khoson,2,0),"")</f>
        <v>PU xanh blue T</v>
      </c>
      <c r="D13" s="45" t="str">
        <f>IFERROR(VLOOKUP(B13,khoson,3,0),"")</f>
        <v>Kg</v>
      </c>
      <c r="E13" s="51">
        <v>5</v>
      </c>
      <c r="F13" s="46">
        <f>IFERROR(VLOOKUP(B13,khoson,4,0),"")</f>
        <v>160000</v>
      </c>
      <c r="G13" s="47">
        <f>F13*E13</f>
        <v>800000</v>
      </c>
      <c r="I13"/>
      <c r="J13" s="1"/>
      <c r="K13" s="1"/>
      <c r="L13" s="1"/>
      <c r="M13" s="1"/>
      <c r="N13" s="1"/>
      <c r="O13" s="1"/>
      <c r="P13" s="1"/>
    </row>
    <row r="14" spans="1:22" s="44" customFormat="1" ht="24" customHeight="1" x14ac:dyDescent="0.3">
      <c r="A14" s="45">
        <v>4</v>
      </c>
      <c r="B14" s="50" t="s">
        <v>1267</v>
      </c>
      <c r="C14" s="45" t="str">
        <f>IFERROR(VLOOKUP(B14,khoson,2,0),"")</f>
        <v>Bóng trắng CNM</v>
      </c>
      <c r="D14" s="45" t="str">
        <f>IFERROR(VLOOKUP(B14,khoson,3,0),"")</f>
        <v>Kg</v>
      </c>
      <c r="E14" s="51">
        <v>5</v>
      </c>
      <c r="F14" s="46">
        <f>IFERROR(VLOOKUP(B14,khoson,4,0),"")</f>
        <v>220000</v>
      </c>
      <c r="G14" s="47">
        <f t="shared" ref="G14:G15" si="0">F14*E14</f>
        <v>1100000</v>
      </c>
      <c r="I14"/>
      <c r="J14" s="1"/>
      <c r="K14" s="1"/>
      <c r="L14" s="1"/>
      <c r="M14" s="1"/>
      <c r="N14" s="1"/>
      <c r="O14" s="1"/>
      <c r="P14" s="1"/>
    </row>
    <row r="15" spans="1:22" s="44" customFormat="1" ht="24" customHeight="1" x14ac:dyDescent="0.3">
      <c r="A15" s="45">
        <v>5</v>
      </c>
      <c r="B15" s="50" t="s">
        <v>1211</v>
      </c>
      <c r="C15" s="45" t="str">
        <f>IFERROR(VLOOKUP(B15,khoson,2,0),"")</f>
        <v>Hộp nhựa to</v>
      </c>
      <c r="D15" s="45" t="str">
        <f>IFERROR(VLOOKUP(B15,khoson,3,0),"")</f>
        <v>Hộp</v>
      </c>
      <c r="E15" s="51">
        <v>4</v>
      </c>
      <c r="F15" s="46">
        <f>IFERROR(VLOOKUP(B15,khoson,4,0),"")</f>
        <v>15000</v>
      </c>
      <c r="G15" s="47">
        <f t="shared" si="0"/>
        <v>60000</v>
      </c>
      <c r="I15"/>
      <c r="J15" s="1"/>
      <c r="K15" s="1"/>
      <c r="L15" s="1"/>
      <c r="M15" s="1"/>
      <c r="N15" s="1"/>
      <c r="O15" s="1"/>
      <c r="P15" s="1"/>
    </row>
    <row r="16" spans="1:22" ht="21" customHeight="1" x14ac:dyDescent="0.35">
      <c r="A16" s="76" t="s">
        <v>574</v>
      </c>
      <c r="B16" s="77"/>
      <c r="C16" s="77"/>
      <c r="D16" s="77"/>
      <c r="E16" s="77"/>
      <c r="F16" s="78"/>
      <c r="G16" s="49">
        <f>SUM(G11:G15)</f>
        <v>3560000</v>
      </c>
      <c r="H16" s="44"/>
      <c r="J16" s="68"/>
      <c r="K16" s="22"/>
      <c r="L16" s="1"/>
      <c r="M16" s="1"/>
      <c r="N16" s="1"/>
      <c r="O16" s="2"/>
      <c r="P16" s="1"/>
      <c r="Q16" s="44"/>
      <c r="R16" s="44"/>
      <c r="S16" s="44"/>
      <c r="T16" s="44"/>
      <c r="U16" s="44"/>
      <c r="V16" s="44"/>
    </row>
    <row r="17" spans="1:22" ht="21" customHeight="1" x14ac:dyDescent="0.35">
      <c r="A17" s="76" t="s">
        <v>544</v>
      </c>
      <c r="B17" s="77"/>
      <c r="C17" s="77"/>
      <c r="D17" s="77"/>
      <c r="E17" s="77"/>
      <c r="F17" s="78"/>
      <c r="G17" s="48">
        <f>G16</f>
        <v>3560000</v>
      </c>
      <c r="H17" s="44"/>
      <c r="J17" s="68"/>
      <c r="K17" s="22"/>
      <c r="L17" s="1"/>
      <c r="M17" s="1"/>
      <c r="N17" s="1"/>
      <c r="O17" s="2"/>
      <c r="P17" s="1"/>
      <c r="Q17" s="44"/>
      <c r="R17" s="44"/>
      <c r="S17" s="44"/>
      <c r="T17" s="44"/>
      <c r="U17" s="44"/>
      <c r="V17" s="44"/>
    </row>
    <row r="18" spans="1:22" ht="24.75" customHeight="1" x14ac:dyDescent="0.35">
      <c r="A18" s="42" t="s">
        <v>545</v>
      </c>
      <c r="B18" s="38"/>
      <c r="C18" s="30"/>
      <c r="D18" s="30"/>
      <c r="E18" s="30"/>
      <c r="F18" s="41"/>
      <c r="G18" s="30" t="s">
        <v>563</v>
      </c>
      <c r="H18" s="44"/>
      <c r="P18" s="44"/>
      <c r="Q18" s="44"/>
      <c r="R18" s="44"/>
      <c r="S18" s="44"/>
      <c r="T18" s="44"/>
      <c r="U18" s="44"/>
      <c r="V18" s="44"/>
    </row>
    <row r="19" spans="1:22" ht="27" customHeight="1" x14ac:dyDescent="0.35">
      <c r="A19" s="30"/>
      <c r="B19" s="30"/>
      <c r="C19" s="30"/>
      <c r="D19" s="30"/>
      <c r="E19" s="66" t="s">
        <v>1150</v>
      </c>
      <c r="F19" s="66"/>
      <c r="G19" s="66"/>
      <c r="H19" s="44"/>
      <c r="P19" s="44"/>
      <c r="Q19" s="44"/>
      <c r="R19" s="44"/>
      <c r="S19" s="44"/>
      <c r="T19" s="44"/>
      <c r="U19" s="44"/>
      <c r="V19" s="44"/>
    </row>
    <row r="20" spans="1:22" ht="22.2" customHeight="1" x14ac:dyDescent="0.35">
      <c r="A20" s="79" t="s">
        <v>349</v>
      </c>
      <c r="B20" s="79"/>
      <c r="C20" s="53" t="s">
        <v>547</v>
      </c>
      <c r="D20" s="79" t="s">
        <v>548</v>
      </c>
      <c r="E20" s="79"/>
      <c r="F20" s="79" t="s">
        <v>199</v>
      </c>
      <c r="G20" s="79"/>
      <c r="H20" s="44"/>
      <c r="P20" s="44"/>
      <c r="Q20" s="44"/>
      <c r="R20" s="44"/>
      <c r="S20" s="44"/>
      <c r="T20" s="44"/>
      <c r="U20" s="44"/>
      <c r="V20" s="44"/>
    </row>
    <row r="21" spans="1:22" ht="22.2" customHeight="1" x14ac:dyDescent="0.35">
      <c r="A21" s="79" t="s">
        <v>546</v>
      </c>
      <c r="B21" s="79"/>
      <c r="C21" s="53" t="s">
        <v>546</v>
      </c>
      <c r="D21" s="79" t="s">
        <v>546</v>
      </c>
      <c r="E21" s="79"/>
      <c r="F21" s="79" t="s">
        <v>546</v>
      </c>
      <c r="G21" s="79"/>
      <c r="H21" s="44"/>
      <c r="P21" s="44"/>
      <c r="Q21" s="44"/>
      <c r="R21" s="44"/>
      <c r="S21" s="44"/>
      <c r="T21" s="44"/>
      <c r="U21" s="44"/>
      <c r="V21" s="44"/>
    </row>
    <row r="22" spans="1:22" ht="30" customHeight="1" x14ac:dyDescent="0.35">
      <c r="A22" s="30"/>
      <c r="B22" s="30"/>
      <c r="C22" s="30"/>
      <c r="D22" s="30"/>
      <c r="E22" s="30"/>
      <c r="F22" s="41"/>
      <c r="G22" s="30"/>
      <c r="H22" s="44"/>
    </row>
    <row r="23" spans="1:22" x14ac:dyDescent="0.35">
      <c r="A23" s="30"/>
      <c r="B23" s="30"/>
      <c r="C23" s="30"/>
      <c r="D23" s="30"/>
      <c r="E23" s="30"/>
      <c r="F23" s="41"/>
      <c r="G23" s="30"/>
      <c r="H23" s="44"/>
    </row>
    <row r="24" spans="1:22" x14ac:dyDescent="0.35">
      <c r="A24" s="30"/>
      <c r="B24" s="30"/>
      <c r="C24" s="30"/>
      <c r="D24" s="30"/>
      <c r="E24" s="30"/>
      <c r="F24" s="41"/>
      <c r="G24" s="30"/>
      <c r="H24" s="44"/>
    </row>
    <row r="25" spans="1:22" x14ac:dyDescent="0.35">
      <c r="A25" s="30"/>
      <c r="B25" s="30"/>
      <c r="C25" s="30"/>
      <c r="D25" s="30"/>
      <c r="G25" s="30"/>
      <c r="H25" s="44"/>
    </row>
    <row r="26" spans="1:22" x14ac:dyDescent="0.35">
      <c r="A26" s="30"/>
      <c r="B26" s="30"/>
      <c r="C26" s="30"/>
      <c r="D26" s="30"/>
      <c r="G26" s="30"/>
    </row>
    <row r="27" spans="1:22" x14ac:dyDescent="0.35">
      <c r="A27" s="30"/>
      <c r="B27" s="30"/>
      <c r="C27" s="30"/>
      <c r="D27" s="30"/>
      <c r="E27" s="30"/>
      <c r="F27" s="41"/>
      <c r="G27" s="30"/>
    </row>
    <row r="28" spans="1:22" x14ac:dyDescent="0.35">
      <c r="A28" s="30"/>
      <c r="B28" s="30"/>
      <c r="C28" s="30"/>
      <c r="D28" s="30"/>
      <c r="E28" s="30"/>
      <c r="F28" s="41"/>
      <c r="G28" s="30"/>
    </row>
    <row r="29" spans="1:22" x14ac:dyDescent="0.35">
      <c r="A29" s="30"/>
      <c r="B29" s="30"/>
      <c r="C29" s="30"/>
      <c r="D29" s="30"/>
      <c r="E29" s="30"/>
      <c r="F29" s="41"/>
      <c r="G29" s="30"/>
    </row>
    <row r="30" spans="1:22" x14ac:dyDescent="0.35">
      <c r="A30" s="30"/>
      <c r="B30" s="30"/>
      <c r="C30" s="30"/>
      <c r="D30" s="30"/>
      <c r="E30" s="30"/>
      <c r="F30" s="41"/>
      <c r="G30" s="30"/>
    </row>
    <row r="31" spans="1:22" x14ac:dyDescent="0.35">
      <c r="A31" s="30"/>
      <c r="B31" s="30"/>
      <c r="C31" s="30"/>
      <c r="D31" s="30"/>
      <c r="E31" s="30"/>
      <c r="F31" s="41"/>
      <c r="G31" s="30"/>
    </row>
    <row r="32" spans="1:22" x14ac:dyDescent="0.35">
      <c r="A32" s="1"/>
      <c r="B32" s="1"/>
      <c r="C32" s="1"/>
      <c r="D32" s="1"/>
      <c r="E32" s="1"/>
      <c r="F32" s="41"/>
      <c r="G32" s="1"/>
    </row>
    <row r="33" spans="1:7" x14ac:dyDescent="0.35">
      <c r="A33" s="1"/>
      <c r="B33" s="1"/>
      <c r="C33" s="1"/>
      <c r="D33" s="1"/>
      <c r="E33" s="1"/>
      <c r="F33" s="41"/>
      <c r="G33" s="1"/>
    </row>
    <row r="34" spans="1:7" x14ac:dyDescent="0.35">
      <c r="A34" s="1"/>
      <c r="B34" s="1"/>
      <c r="C34" s="1"/>
      <c r="D34" s="1"/>
      <c r="E34" s="1"/>
      <c r="F34" s="41"/>
      <c r="G34" s="1"/>
    </row>
    <row r="35" spans="1:7" x14ac:dyDescent="0.35">
      <c r="A35" s="1"/>
      <c r="B35" s="1"/>
      <c r="C35" s="1"/>
      <c r="D35" s="1"/>
      <c r="E35" s="1"/>
      <c r="F35" s="41"/>
      <c r="G35" s="1"/>
    </row>
    <row r="36" spans="1:7" x14ac:dyDescent="0.35">
      <c r="A36" s="1"/>
      <c r="B36" s="1"/>
      <c r="C36" s="1"/>
      <c r="D36" s="1"/>
      <c r="E36" s="1"/>
      <c r="F36" s="41"/>
      <c r="G36" s="1"/>
    </row>
    <row r="37" spans="1:7" x14ac:dyDescent="0.35">
      <c r="A37" s="1"/>
      <c r="B37" s="1"/>
      <c r="C37" s="1"/>
      <c r="D37" s="1"/>
      <c r="E37" s="1"/>
      <c r="F37" s="41"/>
      <c r="G37" s="1"/>
    </row>
    <row r="38" spans="1:7" x14ac:dyDescent="0.35">
      <c r="A38" s="1"/>
      <c r="B38" s="1"/>
      <c r="C38" s="1"/>
      <c r="D38" s="1"/>
      <c r="E38" s="1"/>
      <c r="F38" s="41"/>
      <c r="G38" s="1"/>
    </row>
  </sheetData>
  <mergeCells count="13">
    <mergeCell ref="A16:F16"/>
    <mergeCell ref="A3:B3"/>
    <mergeCell ref="A4:G4"/>
    <mergeCell ref="A5:G5"/>
    <mergeCell ref="C6:E6"/>
    <mergeCell ref="A7:C7"/>
    <mergeCell ref="A17:F17"/>
    <mergeCell ref="A20:B20"/>
    <mergeCell ref="D20:E20"/>
    <mergeCell ref="F20:G20"/>
    <mergeCell ref="A21:B21"/>
    <mergeCell ref="D21:E21"/>
    <mergeCell ref="F21:G21"/>
  </mergeCells>
  <phoneticPr fontId="28" type="noConversion"/>
  <pageMargins left="0.4" right="0.23" top="0.31" bottom="0.16" header="0.3" footer="0.3"/>
  <pageSetup paperSize="9" scale="84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F29A9-FC90-420C-95CF-07C6DA4F5115}">
  <sheetPr>
    <pageSetUpPr fitToPage="1"/>
  </sheetPr>
  <dimension ref="A1:V35"/>
  <sheetViews>
    <sheetView workbookViewId="0">
      <selection activeCell="M10" sqref="M10"/>
    </sheetView>
  </sheetViews>
  <sheetFormatPr defaultRowHeight="18" x14ac:dyDescent="0.35"/>
  <cols>
    <col min="1" max="1" width="6.88671875" customWidth="1"/>
    <col min="2" max="2" width="23.33203125" customWidth="1"/>
    <col min="3" max="3" width="30.5546875" customWidth="1"/>
    <col min="4" max="4" width="10.109375" customWidth="1"/>
    <col min="5" max="5" width="14.6640625" customWidth="1"/>
    <col min="6" max="6" width="14" style="43" customWidth="1"/>
    <col min="7" max="7" width="15.109375" customWidth="1"/>
    <col min="8" max="8" width="16.44140625" customWidth="1"/>
    <col min="10" max="10" width="10.109375" bestFit="1" customWidth="1"/>
  </cols>
  <sheetData>
    <row r="1" spans="1:22" ht="22.5" customHeight="1" x14ac:dyDescent="0.35">
      <c r="A1" s="41" t="s">
        <v>538</v>
      </c>
      <c r="B1" s="41"/>
      <c r="C1" s="41"/>
      <c r="D1" s="30"/>
      <c r="E1" s="30"/>
      <c r="F1" s="41"/>
      <c r="G1" s="30"/>
    </row>
    <row r="2" spans="1:22" ht="18.600000000000001" customHeight="1" x14ac:dyDescent="0.35">
      <c r="A2" s="41" t="s">
        <v>998</v>
      </c>
      <c r="B2" s="41"/>
      <c r="C2" s="41"/>
      <c r="D2" s="30"/>
      <c r="E2" s="30"/>
      <c r="F2" s="41"/>
      <c r="G2" s="30"/>
    </row>
    <row r="3" spans="1:22" x14ac:dyDescent="0.35">
      <c r="A3" s="80">
        <f ca="1">NOW()</f>
        <v>46273.708471180558</v>
      </c>
      <c r="B3" s="80"/>
      <c r="C3" s="30"/>
      <c r="D3" s="30"/>
      <c r="E3" s="30"/>
      <c r="F3" s="41"/>
      <c r="G3" s="30"/>
    </row>
    <row r="4" spans="1:22" ht="26.4" customHeight="1" x14ac:dyDescent="0.3">
      <c r="A4" s="81" t="s">
        <v>539</v>
      </c>
      <c r="B4" s="81"/>
      <c r="C4" s="81"/>
      <c r="D4" s="81"/>
      <c r="E4" s="81"/>
      <c r="F4" s="81"/>
      <c r="G4" s="81"/>
    </row>
    <row r="5" spans="1:22" ht="20.25" customHeight="1" x14ac:dyDescent="0.3">
      <c r="A5" s="82" t="s">
        <v>1288</v>
      </c>
      <c r="B5" s="82"/>
      <c r="C5" s="82"/>
      <c r="D5" s="82"/>
      <c r="E5" s="82"/>
      <c r="F5" s="82"/>
      <c r="G5" s="82"/>
    </row>
    <row r="6" spans="1:22" ht="21.6" customHeight="1" x14ac:dyDescent="0.35">
      <c r="A6" s="41" t="s">
        <v>573</v>
      </c>
      <c r="B6" s="41"/>
      <c r="C6" s="83" t="s">
        <v>1282</v>
      </c>
      <c r="D6" s="83"/>
      <c r="E6" s="83"/>
      <c r="G6" s="30"/>
    </row>
    <row r="7" spans="1:22" ht="21.6" customHeight="1" x14ac:dyDescent="0.35">
      <c r="A7" s="84" t="s">
        <v>540</v>
      </c>
      <c r="B7" s="84"/>
      <c r="C7" s="84"/>
      <c r="D7" s="30"/>
      <c r="E7" s="30"/>
      <c r="G7" s="41"/>
    </row>
    <row r="8" spans="1:22" ht="21.6" customHeight="1" x14ac:dyDescent="0.35">
      <c r="A8" s="41" t="s">
        <v>570</v>
      </c>
      <c r="B8" s="41"/>
      <c r="C8" s="41"/>
      <c r="D8" s="30"/>
      <c r="E8" s="30"/>
      <c r="F8" s="30"/>
      <c r="G8" s="30"/>
    </row>
    <row r="9" spans="1:22" x14ac:dyDescent="0.35">
      <c r="A9" s="30"/>
      <c r="B9" s="30"/>
      <c r="C9" s="30"/>
      <c r="D9" s="30"/>
      <c r="E9" s="30" t="s">
        <v>563</v>
      </c>
      <c r="F9" s="41"/>
      <c r="G9" s="30"/>
    </row>
    <row r="10" spans="1:22" s="44" customFormat="1" ht="44.25" customHeight="1" x14ac:dyDescent="0.3">
      <c r="A10" s="52" t="s">
        <v>541</v>
      </c>
      <c r="B10" s="52" t="s">
        <v>549</v>
      </c>
      <c r="C10" s="52" t="s">
        <v>568</v>
      </c>
      <c r="D10" s="52" t="s">
        <v>542</v>
      </c>
      <c r="E10" s="52" t="s">
        <v>5</v>
      </c>
      <c r="F10" s="52" t="s">
        <v>543</v>
      </c>
      <c r="G10" s="52" t="s">
        <v>6</v>
      </c>
      <c r="H10" s="44" t="s">
        <v>244</v>
      </c>
      <c r="I10"/>
      <c r="J10"/>
      <c r="K10"/>
      <c r="L10"/>
      <c r="M10"/>
      <c r="N10"/>
      <c r="O10"/>
    </row>
    <row r="11" spans="1:22" s="44" customFormat="1" ht="24" customHeight="1" x14ac:dyDescent="0.3">
      <c r="A11" s="45">
        <v>1</v>
      </c>
      <c r="B11" s="50" t="s">
        <v>1290</v>
      </c>
      <c r="C11" s="45" t="str">
        <f>IFERROR(VLOOKUP(B11,khoson,2,0),"")</f>
        <v>Sơn pha 7505c-pt</v>
      </c>
      <c r="D11" s="45" t="str">
        <f>IFERROR(VLOOKUP(B11,khoson,3,0),"")</f>
        <v>Kg</v>
      </c>
      <c r="E11" s="51">
        <v>5</v>
      </c>
      <c r="F11" s="46">
        <v>170000</v>
      </c>
      <c r="G11" s="47">
        <f>F11*E11</f>
        <v>850000</v>
      </c>
      <c r="I11"/>
      <c r="J11"/>
      <c r="K11" s="1"/>
      <c r="L11" s="1"/>
      <c r="M11" s="1"/>
      <c r="N11" s="1"/>
      <c r="O11" s="1"/>
      <c r="P11" s="1"/>
    </row>
    <row r="12" spans="1:22" s="44" customFormat="1" ht="24" customHeight="1" x14ac:dyDescent="0.3">
      <c r="A12" s="45">
        <v>2</v>
      </c>
      <c r="B12" s="50" t="s">
        <v>1211</v>
      </c>
      <c r="C12" s="45" t="str">
        <f>IFERROR(VLOOKUP(B12,khoson,2,0),"")</f>
        <v>Hộp nhựa to</v>
      </c>
      <c r="D12" s="45" t="str">
        <f>IFERROR(VLOOKUP(B12,khoson,3,0),"")</f>
        <v>Hộp</v>
      </c>
      <c r="E12" s="51">
        <v>1</v>
      </c>
      <c r="F12" s="46">
        <v>15000</v>
      </c>
      <c r="G12" s="47">
        <f>F12*E12</f>
        <v>15000</v>
      </c>
      <c r="I12"/>
      <c r="J12" s="1"/>
      <c r="K12" s="1"/>
      <c r="L12" s="1"/>
      <c r="M12" s="1"/>
      <c r="N12" s="1"/>
      <c r="O12" s="1"/>
      <c r="P12" s="1"/>
    </row>
    <row r="13" spans="1:22" ht="21" customHeight="1" x14ac:dyDescent="0.35">
      <c r="A13" s="76" t="s">
        <v>574</v>
      </c>
      <c r="B13" s="77"/>
      <c r="C13" s="77"/>
      <c r="D13" s="77"/>
      <c r="E13" s="77"/>
      <c r="F13" s="78"/>
      <c r="G13" s="49">
        <f>SUM(G11:G12)</f>
        <v>865000</v>
      </c>
      <c r="H13" s="44"/>
      <c r="J13" s="68"/>
      <c r="K13" s="22"/>
      <c r="L13" s="1"/>
      <c r="M13" s="1"/>
      <c r="N13" s="1"/>
      <c r="O13" s="2"/>
      <c r="P13" s="1"/>
      <c r="Q13" s="44"/>
      <c r="R13" s="44"/>
      <c r="S13" s="44"/>
      <c r="T13" s="44"/>
      <c r="U13" s="44"/>
      <c r="V13" s="44"/>
    </row>
    <row r="14" spans="1:22" ht="21" customHeight="1" x14ac:dyDescent="0.35">
      <c r="A14" s="76" t="s">
        <v>544</v>
      </c>
      <c r="B14" s="77"/>
      <c r="C14" s="77"/>
      <c r="D14" s="77"/>
      <c r="E14" s="77"/>
      <c r="F14" s="78"/>
      <c r="G14" s="74">
        <f>G13</f>
        <v>865000</v>
      </c>
      <c r="H14" s="44"/>
      <c r="J14" s="68"/>
      <c r="K14" s="22"/>
      <c r="L14" s="1"/>
      <c r="M14" s="1"/>
      <c r="N14" s="1"/>
      <c r="O14" s="2"/>
      <c r="P14" s="1"/>
      <c r="Q14" s="44"/>
      <c r="R14" s="44"/>
      <c r="S14" s="44"/>
      <c r="T14" s="44"/>
      <c r="U14" s="44"/>
      <c r="V14" s="44"/>
    </row>
    <row r="15" spans="1:22" ht="24.75" customHeight="1" x14ac:dyDescent="0.35">
      <c r="A15" s="42" t="s">
        <v>545</v>
      </c>
      <c r="B15" s="38"/>
      <c r="C15" s="30"/>
      <c r="D15" s="30"/>
      <c r="E15" s="30"/>
      <c r="F15" s="41"/>
      <c r="G15" s="30" t="s">
        <v>563</v>
      </c>
      <c r="H15" s="44"/>
      <c r="P15" s="44"/>
      <c r="Q15" s="44"/>
      <c r="R15" s="44"/>
      <c r="S15" s="44"/>
      <c r="T15" s="44"/>
      <c r="U15" s="44"/>
      <c r="V15" s="44"/>
    </row>
    <row r="16" spans="1:22" ht="27" customHeight="1" x14ac:dyDescent="0.35">
      <c r="A16" s="30"/>
      <c r="B16" s="30"/>
      <c r="C16" s="30"/>
      <c r="D16" s="30"/>
      <c r="E16" s="66" t="s">
        <v>1273</v>
      </c>
      <c r="F16" s="66"/>
      <c r="G16" s="66"/>
      <c r="H16" s="44"/>
      <c r="P16" s="44"/>
      <c r="Q16" s="44"/>
      <c r="R16" s="44"/>
      <c r="S16" s="44"/>
      <c r="T16" s="44"/>
      <c r="U16" s="44"/>
      <c r="V16" s="44"/>
    </row>
    <row r="17" spans="1:22" ht="22.2" customHeight="1" x14ac:dyDescent="0.35">
      <c r="A17" s="79" t="s">
        <v>349</v>
      </c>
      <c r="B17" s="79"/>
      <c r="C17" s="53" t="s">
        <v>547</v>
      </c>
      <c r="D17" s="79" t="s">
        <v>548</v>
      </c>
      <c r="E17" s="79"/>
      <c r="F17" s="79" t="s">
        <v>199</v>
      </c>
      <c r="G17" s="79"/>
      <c r="H17" s="44"/>
      <c r="P17" s="44"/>
      <c r="Q17" s="44"/>
      <c r="R17" s="44"/>
      <c r="S17" s="44"/>
      <c r="T17" s="44"/>
      <c r="U17" s="44"/>
      <c r="V17" s="44"/>
    </row>
    <row r="18" spans="1:22" ht="22.2" customHeight="1" x14ac:dyDescent="0.35">
      <c r="A18" s="79" t="s">
        <v>546</v>
      </c>
      <c r="B18" s="79"/>
      <c r="C18" s="53" t="s">
        <v>546</v>
      </c>
      <c r="D18" s="79" t="s">
        <v>546</v>
      </c>
      <c r="E18" s="79"/>
      <c r="F18" s="79" t="s">
        <v>546</v>
      </c>
      <c r="G18" s="79"/>
      <c r="H18" s="44"/>
      <c r="P18" s="44"/>
      <c r="Q18" s="44"/>
      <c r="R18" s="44"/>
      <c r="S18" s="44"/>
      <c r="T18" s="44"/>
      <c r="U18" s="44"/>
      <c r="V18" s="44"/>
    </row>
    <row r="19" spans="1:22" ht="30" customHeight="1" x14ac:dyDescent="0.35">
      <c r="A19" s="30"/>
      <c r="B19" s="30"/>
      <c r="C19" s="30"/>
      <c r="D19" s="30"/>
      <c r="E19" s="30"/>
      <c r="F19" s="41"/>
      <c r="G19" s="30"/>
      <c r="H19" s="44"/>
    </row>
    <row r="20" spans="1:22" x14ac:dyDescent="0.35">
      <c r="A20" s="30"/>
      <c r="B20" s="30"/>
      <c r="C20" s="30"/>
      <c r="D20" s="30"/>
      <c r="E20" s="30"/>
      <c r="F20" s="41"/>
      <c r="G20" s="30"/>
      <c r="H20" s="44"/>
    </row>
    <row r="21" spans="1:22" x14ac:dyDescent="0.35">
      <c r="A21" s="30"/>
      <c r="B21" s="30"/>
      <c r="C21" s="30"/>
      <c r="D21" s="30"/>
      <c r="E21" s="30"/>
      <c r="F21" s="41"/>
      <c r="G21" s="30"/>
      <c r="H21" s="44"/>
    </row>
    <row r="22" spans="1:22" x14ac:dyDescent="0.35">
      <c r="A22" s="30"/>
      <c r="B22" s="30"/>
      <c r="C22" s="30"/>
      <c r="D22" s="30"/>
      <c r="G22" s="30"/>
      <c r="H22" s="44"/>
    </row>
    <row r="23" spans="1:22" x14ac:dyDescent="0.35">
      <c r="A23" s="30"/>
      <c r="B23" s="30"/>
      <c r="C23" s="30"/>
      <c r="D23" s="30"/>
      <c r="G23" s="30"/>
    </row>
    <row r="24" spans="1:22" x14ac:dyDescent="0.35">
      <c r="A24" s="30"/>
      <c r="B24" s="30"/>
      <c r="C24" s="30"/>
      <c r="D24" s="30"/>
      <c r="E24" s="30"/>
      <c r="F24" s="41"/>
      <c r="G24" s="30"/>
    </row>
    <row r="25" spans="1:22" x14ac:dyDescent="0.35">
      <c r="A25" s="30"/>
      <c r="B25" s="30"/>
      <c r="C25" s="30"/>
      <c r="D25" s="30"/>
      <c r="E25" s="30"/>
      <c r="F25" s="41"/>
      <c r="G25" s="30"/>
    </row>
    <row r="26" spans="1:22" x14ac:dyDescent="0.35">
      <c r="A26" s="30"/>
      <c r="B26" s="30"/>
      <c r="C26" s="30"/>
      <c r="D26" s="30"/>
      <c r="E26" s="30"/>
      <c r="F26" s="41"/>
      <c r="G26" s="30"/>
    </row>
    <row r="27" spans="1:22" x14ac:dyDescent="0.35">
      <c r="A27" s="30"/>
      <c r="B27" s="30"/>
      <c r="C27" s="30"/>
      <c r="D27" s="30"/>
      <c r="E27" s="30"/>
      <c r="F27" s="41"/>
      <c r="G27" s="30"/>
    </row>
    <row r="28" spans="1:22" x14ac:dyDescent="0.35">
      <c r="A28" s="30"/>
      <c r="B28" s="30"/>
      <c r="C28" s="30"/>
      <c r="D28" s="30"/>
      <c r="E28" s="30"/>
      <c r="F28" s="41"/>
      <c r="G28" s="30"/>
    </row>
    <row r="29" spans="1:22" x14ac:dyDescent="0.35">
      <c r="A29" s="1"/>
      <c r="B29" s="1"/>
      <c r="C29" s="1"/>
      <c r="D29" s="1"/>
      <c r="E29" s="1"/>
      <c r="F29" s="41"/>
      <c r="G29" s="1"/>
    </row>
    <row r="30" spans="1:22" x14ac:dyDescent="0.35">
      <c r="A30" s="1"/>
      <c r="B30" s="1"/>
      <c r="C30" s="1"/>
      <c r="D30" s="1"/>
      <c r="E30" s="1"/>
      <c r="F30" s="41"/>
      <c r="G30" s="1"/>
    </row>
    <row r="31" spans="1:22" x14ac:dyDescent="0.35">
      <c r="A31" s="1"/>
      <c r="B31" s="1"/>
      <c r="C31" s="1"/>
      <c r="D31" s="1"/>
      <c r="E31" s="1"/>
      <c r="F31" s="41"/>
      <c r="G31" s="1"/>
    </row>
    <row r="32" spans="1:22" x14ac:dyDescent="0.35">
      <c r="A32" s="1"/>
      <c r="B32" s="1"/>
      <c r="C32" s="1"/>
      <c r="D32" s="1"/>
      <c r="E32" s="1"/>
      <c r="F32" s="41"/>
      <c r="G32" s="1"/>
    </row>
    <row r="33" spans="1:7" x14ac:dyDescent="0.35">
      <c r="A33" s="1"/>
      <c r="B33" s="1"/>
      <c r="C33" s="1"/>
      <c r="D33" s="1"/>
      <c r="E33" s="1"/>
      <c r="F33" s="41"/>
      <c r="G33" s="1"/>
    </row>
    <row r="34" spans="1:7" x14ac:dyDescent="0.35">
      <c r="A34" s="1"/>
      <c r="B34" s="1"/>
      <c r="C34" s="1"/>
      <c r="D34" s="1"/>
      <c r="E34" s="1"/>
      <c r="F34" s="41"/>
      <c r="G34" s="1"/>
    </row>
    <row r="35" spans="1:7" x14ac:dyDescent="0.35">
      <c r="A35" s="1"/>
      <c r="B35" s="1"/>
      <c r="C35" s="1"/>
      <c r="D35" s="1"/>
      <c r="E35" s="1"/>
      <c r="F35" s="41"/>
      <c r="G35" s="1"/>
    </row>
  </sheetData>
  <mergeCells count="13">
    <mergeCell ref="A13:F13"/>
    <mergeCell ref="A3:B3"/>
    <mergeCell ref="A4:G4"/>
    <mergeCell ref="A5:G5"/>
    <mergeCell ref="C6:E6"/>
    <mergeCell ref="A7:C7"/>
    <mergeCell ref="A14:F14"/>
    <mergeCell ref="A17:B17"/>
    <mergeCell ref="D17:E17"/>
    <mergeCell ref="F17:G17"/>
    <mergeCell ref="A18:B18"/>
    <mergeCell ref="D18:E18"/>
    <mergeCell ref="F18:G18"/>
  </mergeCells>
  <pageMargins left="0.4" right="0.23" top="0.31" bottom="0.16" header="0.3" footer="0.3"/>
  <pageSetup paperSize="9" scale="84" fitToHeight="0" orientation="portrait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2AC9E-7297-4D0B-A24C-001B0C50894F}">
  <sheetPr>
    <pageSetUpPr fitToPage="1"/>
  </sheetPr>
  <dimension ref="A1:V34"/>
  <sheetViews>
    <sheetView workbookViewId="0">
      <selection activeCell="C18" sqref="C18"/>
    </sheetView>
  </sheetViews>
  <sheetFormatPr defaultRowHeight="18" x14ac:dyDescent="0.35"/>
  <cols>
    <col min="1" max="1" width="6.88671875" customWidth="1"/>
    <col min="2" max="2" width="23.33203125" customWidth="1"/>
    <col min="3" max="3" width="30.5546875" customWidth="1"/>
    <col min="4" max="4" width="10.109375" customWidth="1"/>
    <col min="5" max="5" width="14.6640625" customWidth="1"/>
    <col min="6" max="6" width="14" style="43" customWidth="1"/>
    <col min="7" max="7" width="15.109375" customWidth="1"/>
    <col min="8" max="8" width="16.44140625" customWidth="1"/>
    <col min="10" max="10" width="10.109375" bestFit="1" customWidth="1"/>
  </cols>
  <sheetData>
    <row r="1" spans="1:22" ht="22.5" customHeight="1" x14ac:dyDescent="0.35">
      <c r="A1" s="41" t="s">
        <v>538</v>
      </c>
      <c r="B1" s="41"/>
      <c r="C1" s="41"/>
      <c r="D1" s="30"/>
      <c r="E1" s="30"/>
      <c r="F1" s="41"/>
      <c r="G1" s="30"/>
    </row>
    <row r="2" spans="1:22" ht="18.600000000000001" customHeight="1" x14ac:dyDescent="0.35">
      <c r="A2" s="41" t="s">
        <v>998</v>
      </c>
      <c r="B2" s="41"/>
      <c r="C2" s="41"/>
      <c r="D2" s="30"/>
      <c r="E2" s="30"/>
      <c r="F2" s="41"/>
      <c r="G2" s="30"/>
    </row>
    <row r="3" spans="1:22" x14ac:dyDescent="0.35">
      <c r="A3" s="80">
        <f ca="1">NOW()</f>
        <v>46273.708471180558</v>
      </c>
      <c r="B3" s="80"/>
      <c r="C3" s="30"/>
      <c r="D3" s="30"/>
      <c r="E3" s="30"/>
      <c r="F3" s="41"/>
      <c r="G3" s="30"/>
    </row>
    <row r="4" spans="1:22" ht="26.4" customHeight="1" x14ac:dyDescent="0.3">
      <c r="A4" s="81" t="s">
        <v>539</v>
      </c>
      <c r="B4" s="81"/>
      <c r="C4" s="81"/>
      <c r="D4" s="81"/>
      <c r="E4" s="81"/>
      <c r="F4" s="81"/>
      <c r="G4" s="81"/>
    </row>
    <row r="5" spans="1:22" ht="20.25" customHeight="1" x14ac:dyDescent="0.3">
      <c r="A5" s="82" t="s">
        <v>1284</v>
      </c>
      <c r="B5" s="82"/>
      <c r="C5" s="82"/>
      <c r="D5" s="82"/>
      <c r="E5" s="82"/>
      <c r="F5" s="82"/>
      <c r="G5" s="82"/>
    </row>
    <row r="6" spans="1:22" ht="21.6" customHeight="1" x14ac:dyDescent="0.35">
      <c r="A6" s="41" t="s">
        <v>573</v>
      </c>
      <c r="B6" s="41"/>
      <c r="C6" s="83" t="s">
        <v>1286</v>
      </c>
      <c r="D6" s="83"/>
      <c r="E6" s="83"/>
      <c r="F6" s="41"/>
      <c r="G6" s="30"/>
    </row>
    <row r="7" spans="1:22" ht="21.6" customHeight="1" x14ac:dyDescent="0.35">
      <c r="A7" s="84" t="s">
        <v>540</v>
      </c>
      <c r="B7" s="84"/>
      <c r="C7" s="84"/>
      <c r="D7" s="30"/>
      <c r="E7" s="30"/>
      <c r="F7" s="41" t="s">
        <v>244</v>
      </c>
      <c r="G7" s="30"/>
    </row>
    <row r="8" spans="1:22" ht="21.6" customHeight="1" x14ac:dyDescent="0.35">
      <c r="A8" s="41" t="s">
        <v>570</v>
      </c>
      <c r="B8" s="41"/>
      <c r="C8" s="41"/>
      <c r="D8" s="30"/>
      <c r="E8" s="30"/>
      <c r="F8" s="30"/>
      <c r="G8" s="30"/>
    </row>
    <row r="9" spans="1:22" x14ac:dyDescent="0.35">
      <c r="A9" s="30"/>
      <c r="B9" s="30"/>
      <c r="C9" s="30"/>
      <c r="D9" s="30"/>
      <c r="E9" s="30" t="s">
        <v>563</v>
      </c>
      <c r="F9" s="41"/>
      <c r="G9" s="30"/>
    </row>
    <row r="10" spans="1:22" s="44" customFormat="1" ht="44.25" customHeight="1" x14ac:dyDescent="0.3">
      <c r="A10" s="52" t="s">
        <v>541</v>
      </c>
      <c r="B10" s="52" t="s">
        <v>549</v>
      </c>
      <c r="C10" s="52" t="s">
        <v>568</v>
      </c>
      <c r="D10" s="52" t="s">
        <v>542</v>
      </c>
      <c r="E10" s="52" t="s">
        <v>5</v>
      </c>
      <c r="F10" s="52" t="s">
        <v>543</v>
      </c>
      <c r="G10" s="52" t="s">
        <v>6</v>
      </c>
      <c r="H10" s="44" t="s">
        <v>244</v>
      </c>
      <c r="I10"/>
      <c r="J10"/>
      <c r="K10"/>
      <c r="L10"/>
      <c r="M10"/>
      <c r="N10"/>
      <c r="O10"/>
    </row>
    <row r="11" spans="1:22" s="44" customFormat="1" ht="24" customHeight="1" x14ac:dyDescent="0.3">
      <c r="A11" s="75">
        <v>1</v>
      </c>
      <c r="B11" s="50" t="s">
        <v>1285</v>
      </c>
      <c r="C11" s="45" t="str">
        <f>IFERROR(VLOOKUP(B11,khoson,2,0),"")</f>
        <v>Tinh màu vàng nguyên lá</v>
      </c>
      <c r="D11" s="45" t="str">
        <f>IFERROR(VLOOKUP(B11,khoson,3,0),"")</f>
        <v>Kg</v>
      </c>
      <c r="E11" s="51">
        <v>0.05</v>
      </c>
      <c r="F11" s="46">
        <v>800000</v>
      </c>
      <c r="G11" s="47">
        <f>F11*E11</f>
        <v>40000</v>
      </c>
      <c r="I11"/>
      <c r="J11" s="1"/>
      <c r="K11"/>
      <c r="L11" s="1"/>
      <c r="M11" s="1"/>
      <c r="N11" s="1"/>
      <c r="O11" s="1"/>
      <c r="P11" s="1"/>
    </row>
    <row r="12" spans="1:22" ht="21" customHeight="1" x14ac:dyDescent="0.35">
      <c r="A12" s="76" t="s">
        <v>574</v>
      </c>
      <c r="B12" s="77"/>
      <c r="C12" s="77"/>
      <c r="D12" s="77"/>
      <c r="E12" s="77"/>
      <c r="F12" s="78"/>
      <c r="G12" s="49">
        <f>SUM(G11:G11)</f>
        <v>40000</v>
      </c>
      <c r="H12" s="44"/>
      <c r="J12" s="68"/>
      <c r="K12" s="22"/>
      <c r="L12" s="1"/>
      <c r="M12" s="1"/>
      <c r="N12" s="1"/>
      <c r="O12" s="2"/>
      <c r="P12" s="1"/>
      <c r="Q12" s="44"/>
      <c r="R12" s="44"/>
      <c r="S12" s="44"/>
      <c r="T12" s="44"/>
      <c r="U12" s="44"/>
      <c r="V12" s="44"/>
    </row>
    <row r="13" spans="1:22" ht="21" customHeight="1" x14ac:dyDescent="0.35">
      <c r="A13" s="76" t="s">
        <v>544</v>
      </c>
      <c r="B13" s="77"/>
      <c r="C13" s="77"/>
      <c r="D13" s="77"/>
      <c r="E13" s="77"/>
      <c r="F13" s="78"/>
      <c r="G13" s="74">
        <f>G12</f>
        <v>40000</v>
      </c>
      <c r="H13" s="44"/>
      <c r="J13" s="68"/>
      <c r="K13" s="22"/>
      <c r="L13" s="1"/>
      <c r="M13" s="1"/>
      <c r="N13" s="1"/>
      <c r="O13" s="2"/>
      <c r="P13" s="1"/>
      <c r="Q13" s="44"/>
      <c r="R13" s="44"/>
      <c r="S13" s="44"/>
      <c r="T13" s="44"/>
      <c r="U13" s="44"/>
      <c r="V13" s="44"/>
    </row>
    <row r="14" spans="1:22" ht="24.75" customHeight="1" x14ac:dyDescent="0.35">
      <c r="A14" s="42" t="s">
        <v>545</v>
      </c>
      <c r="B14" s="38"/>
      <c r="C14" s="30"/>
      <c r="D14" s="30"/>
      <c r="E14" s="30"/>
      <c r="F14" s="41"/>
      <c r="G14" s="30" t="s">
        <v>563</v>
      </c>
      <c r="H14" s="44"/>
      <c r="P14" s="44"/>
      <c r="Q14" s="44"/>
      <c r="R14" s="44"/>
      <c r="S14" s="44"/>
      <c r="T14" s="44"/>
      <c r="U14" s="44"/>
      <c r="V14" s="44"/>
    </row>
    <row r="15" spans="1:22" ht="27" customHeight="1" x14ac:dyDescent="0.35">
      <c r="A15" s="30"/>
      <c r="B15" s="30"/>
      <c r="C15" s="30"/>
      <c r="D15" s="30"/>
      <c r="E15" s="66" t="s">
        <v>1273</v>
      </c>
      <c r="F15" s="66"/>
      <c r="G15" s="66"/>
      <c r="H15" s="44"/>
      <c r="P15" s="44"/>
      <c r="Q15" s="44"/>
      <c r="R15" s="44"/>
      <c r="S15" s="44"/>
      <c r="T15" s="44"/>
      <c r="U15" s="44"/>
      <c r="V15" s="44"/>
    </row>
    <row r="16" spans="1:22" ht="22.2" customHeight="1" x14ac:dyDescent="0.35">
      <c r="A16" s="79" t="s">
        <v>349</v>
      </c>
      <c r="B16" s="79"/>
      <c r="C16" s="53" t="s">
        <v>547</v>
      </c>
      <c r="D16" s="79" t="s">
        <v>548</v>
      </c>
      <c r="E16" s="79"/>
      <c r="F16" s="79" t="s">
        <v>199</v>
      </c>
      <c r="G16" s="79"/>
      <c r="H16" s="44"/>
      <c r="P16" s="44"/>
      <c r="Q16" s="44"/>
      <c r="R16" s="44"/>
      <c r="S16" s="44"/>
      <c r="T16" s="44"/>
      <c r="U16" s="44"/>
      <c r="V16" s="44"/>
    </row>
    <row r="17" spans="1:22" ht="22.2" customHeight="1" x14ac:dyDescent="0.35">
      <c r="A17" s="79" t="s">
        <v>546</v>
      </c>
      <c r="B17" s="79"/>
      <c r="C17" s="53" t="s">
        <v>546</v>
      </c>
      <c r="D17" s="79" t="s">
        <v>546</v>
      </c>
      <c r="E17" s="79"/>
      <c r="F17" s="79" t="s">
        <v>546</v>
      </c>
      <c r="G17" s="79"/>
      <c r="H17" s="44"/>
      <c r="P17" s="44"/>
      <c r="Q17" s="44"/>
      <c r="R17" s="44"/>
      <c r="S17" s="44"/>
      <c r="T17" s="44"/>
      <c r="U17" s="44"/>
      <c r="V17" s="44"/>
    </row>
    <row r="18" spans="1:22" ht="30" customHeight="1" x14ac:dyDescent="0.35">
      <c r="A18" s="30"/>
      <c r="B18" s="30"/>
      <c r="C18" s="30"/>
      <c r="D18" s="30"/>
      <c r="E18" s="30"/>
      <c r="F18" s="41"/>
      <c r="G18" s="30"/>
      <c r="H18" s="44"/>
    </row>
    <row r="19" spans="1:22" x14ac:dyDescent="0.35">
      <c r="A19" s="30"/>
      <c r="B19" s="30"/>
      <c r="C19" s="30"/>
      <c r="D19" s="30"/>
      <c r="E19" s="30"/>
      <c r="F19" s="41"/>
      <c r="G19" s="30"/>
      <c r="H19" s="44"/>
    </row>
    <row r="20" spans="1:22" x14ac:dyDescent="0.35">
      <c r="A20" s="30"/>
      <c r="B20" s="30"/>
      <c r="C20" s="30"/>
      <c r="D20" s="30"/>
      <c r="E20" s="30"/>
      <c r="F20" s="41"/>
      <c r="G20" s="30"/>
      <c r="H20" s="44"/>
    </row>
    <row r="21" spans="1:22" x14ac:dyDescent="0.35">
      <c r="A21" s="30"/>
      <c r="B21" s="30"/>
      <c r="C21" s="30"/>
      <c r="D21" s="30"/>
      <c r="G21" s="30"/>
      <c r="H21" s="44"/>
    </row>
    <row r="22" spans="1:22" x14ac:dyDescent="0.35">
      <c r="A22" s="30"/>
      <c r="B22" s="30"/>
      <c r="C22" s="30"/>
      <c r="D22" s="30"/>
      <c r="G22" s="30"/>
    </row>
    <row r="23" spans="1:22" x14ac:dyDescent="0.35">
      <c r="A23" s="30"/>
      <c r="B23" s="30"/>
      <c r="C23" s="30"/>
      <c r="D23" s="30"/>
      <c r="E23" s="30"/>
      <c r="F23" s="41"/>
      <c r="G23" s="30"/>
    </row>
    <row r="24" spans="1:22" x14ac:dyDescent="0.35">
      <c r="A24" s="30"/>
      <c r="B24" s="30"/>
      <c r="C24" s="30"/>
      <c r="D24" s="30"/>
      <c r="E24" s="30"/>
      <c r="F24" s="41"/>
      <c r="G24" s="30"/>
    </row>
    <row r="25" spans="1:22" x14ac:dyDescent="0.35">
      <c r="A25" s="30"/>
      <c r="B25" s="30"/>
      <c r="C25" s="30"/>
      <c r="D25" s="30"/>
      <c r="E25" s="30"/>
      <c r="F25" s="41"/>
      <c r="G25" s="30"/>
    </row>
    <row r="26" spans="1:22" x14ac:dyDescent="0.35">
      <c r="A26" s="30"/>
      <c r="B26" s="30"/>
      <c r="C26" s="30"/>
      <c r="D26" s="30"/>
      <c r="E26" s="30"/>
      <c r="F26" s="41"/>
      <c r="G26" s="30"/>
    </row>
    <row r="27" spans="1:22" x14ac:dyDescent="0.35">
      <c r="A27" s="30"/>
      <c r="B27" s="30"/>
      <c r="C27" s="30"/>
      <c r="D27" s="30"/>
      <c r="E27" s="30"/>
      <c r="F27" s="41"/>
      <c r="G27" s="30"/>
    </row>
    <row r="28" spans="1:22" x14ac:dyDescent="0.35">
      <c r="A28" s="1"/>
      <c r="B28" s="1"/>
      <c r="C28" s="1"/>
      <c r="D28" s="1"/>
      <c r="E28" s="1"/>
      <c r="F28" s="41"/>
      <c r="G28" s="1"/>
    </row>
    <row r="29" spans="1:22" x14ac:dyDescent="0.35">
      <c r="A29" s="1"/>
      <c r="B29" s="1"/>
      <c r="C29" s="1"/>
      <c r="D29" s="1"/>
      <c r="E29" s="1"/>
      <c r="F29" s="41"/>
      <c r="G29" s="1"/>
    </row>
    <row r="30" spans="1:22" x14ac:dyDescent="0.35">
      <c r="A30" s="1"/>
      <c r="B30" s="1"/>
      <c r="C30" s="1"/>
      <c r="D30" s="1"/>
      <c r="E30" s="1"/>
      <c r="F30" s="41"/>
      <c r="G30" s="1"/>
    </row>
    <row r="31" spans="1:22" x14ac:dyDescent="0.35">
      <c r="A31" s="1"/>
      <c r="B31" s="1"/>
      <c r="C31" s="1"/>
      <c r="D31" s="1"/>
      <c r="E31" s="1"/>
      <c r="F31" s="41"/>
      <c r="G31" s="1"/>
    </row>
    <row r="32" spans="1:22" x14ac:dyDescent="0.35">
      <c r="A32" s="1"/>
      <c r="B32" s="1"/>
      <c r="C32" s="1"/>
      <c r="D32" s="1"/>
      <c r="E32" s="1"/>
      <c r="F32" s="41"/>
      <c r="G32" s="1"/>
    </row>
    <row r="33" spans="1:7" x14ac:dyDescent="0.35">
      <c r="A33" s="1"/>
      <c r="B33" s="1"/>
      <c r="C33" s="1"/>
      <c r="D33" s="1"/>
      <c r="E33" s="1"/>
      <c r="F33" s="41"/>
      <c r="G33" s="1"/>
    </row>
    <row r="34" spans="1:7" x14ac:dyDescent="0.35">
      <c r="A34" s="1"/>
      <c r="B34" s="1"/>
      <c r="C34" s="1"/>
      <c r="D34" s="1"/>
      <c r="E34" s="1"/>
      <c r="F34" s="41"/>
      <c r="G34" s="1"/>
    </row>
  </sheetData>
  <mergeCells count="13">
    <mergeCell ref="A13:F13"/>
    <mergeCell ref="A16:B16"/>
    <mergeCell ref="D16:E16"/>
    <mergeCell ref="F16:G16"/>
    <mergeCell ref="A17:B17"/>
    <mergeCell ref="D17:E17"/>
    <mergeCell ref="F17:G17"/>
    <mergeCell ref="A12:F12"/>
    <mergeCell ref="A3:B3"/>
    <mergeCell ref="A4:G4"/>
    <mergeCell ref="A5:G5"/>
    <mergeCell ref="C6:E6"/>
    <mergeCell ref="A7:C7"/>
  </mergeCells>
  <pageMargins left="0.4" right="0.23" top="0.31" bottom="0.16" header="0.3" footer="0.3"/>
  <pageSetup paperSize="9" scale="84" fitToHeight="0" orientation="portrait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7F681-C058-4877-A626-966D11EC9E31}">
  <sheetPr>
    <pageSetUpPr fitToPage="1"/>
  </sheetPr>
  <dimension ref="A1:V34"/>
  <sheetViews>
    <sheetView workbookViewId="0">
      <selection activeCell="G11" sqref="G11"/>
    </sheetView>
  </sheetViews>
  <sheetFormatPr defaultRowHeight="18" x14ac:dyDescent="0.35"/>
  <cols>
    <col min="1" max="1" width="6.88671875" customWidth="1"/>
    <col min="2" max="2" width="23.33203125" customWidth="1"/>
    <col min="3" max="3" width="30.5546875" customWidth="1"/>
    <col min="4" max="4" width="10.109375" customWidth="1"/>
    <col min="5" max="5" width="14.6640625" customWidth="1"/>
    <col min="6" max="6" width="14" style="43" customWidth="1"/>
    <col min="7" max="7" width="15.109375" customWidth="1"/>
    <col min="8" max="8" width="16.44140625" customWidth="1"/>
    <col min="10" max="10" width="10.109375" bestFit="1" customWidth="1"/>
  </cols>
  <sheetData>
    <row r="1" spans="1:22" ht="22.5" customHeight="1" x14ac:dyDescent="0.35">
      <c r="A1" s="41" t="s">
        <v>538</v>
      </c>
      <c r="B1" s="41"/>
      <c r="C1" s="41"/>
      <c r="D1" s="30"/>
      <c r="E1" s="30"/>
      <c r="F1" s="41"/>
      <c r="G1" s="30"/>
    </row>
    <row r="2" spans="1:22" ht="18.600000000000001" customHeight="1" x14ac:dyDescent="0.35">
      <c r="A2" s="41" t="s">
        <v>998</v>
      </c>
      <c r="B2" s="41"/>
      <c r="C2" s="41"/>
      <c r="D2" s="30"/>
      <c r="E2" s="30"/>
      <c r="F2" s="41"/>
      <c r="G2" s="30"/>
    </row>
    <row r="3" spans="1:22" x14ac:dyDescent="0.35">
      <c r="A3" s="80">
        <f ca="1">NOW()</f>
        <v>46273.708471180558</v>
      </c>
      <c r="B3" s="80"/>
      <c r="C3" s="30"/>
      <c r="D3" s="30"/>
      <c r="E3" s="30"/>
      <c r="F3" s="41"/>
      <c r="G3" s="30"/>
    </row>
    <row r="4" spans="1:22" ht="26.4" customHeight="1" x14ac:dyDescent="0.3">
      <c r="A4" s="81" t="s">
        <v>539</v>
      </c>
      <c r="B4" s="81"/>
      <c r="C4" s="81"/>
      <c r="D4" s="81"/>
      <c r="E4" s="81"/>
      <c r="F4" s="81"/>
      <c r="G4" s="81"/>
    </row>
    <row r="5" spans="1:22" ht="20.25" customHeight="1" x14ac:dyDescent="0.3">
      <c r="A5" s="82" t="s">
        <v>1288</v>
      </c>
      <c r="B5" s="82"/>
      <c r="C5" s="82"/>
      <c r="D5" s="82"/>
      <c r="E5" s="82"/>
      <c r="F5" s="82"/>
      <c r="G5" s="82"/>
    </row>
    <row r="6" spans="1:22" ht="21.6" customHeight="1" x14ac:dyDescent="0.35">
      <c r="A6" s="41" t="s">
        <v>573</v>
      </c>
      <c r="B6" s="41"/>
      <c r="C6" s="83" t="s">
        <v>1286</v>
      </c>
      <c r="D6" s="83"/>
      <c r="E6" s="83"/>
      <c r="F6" s="41"/>
      <c r="G6" s="30"/>
    </row>
    <row r="7" spans="1:22" ht="21.6" customHeight="1" x14ac:dyDescent="0.35">
      <c r="A7" s="84" t="s">
        <v>540</v>
      </c>
      <c r="B7" s="84"/>
      <c r="C7" s="84"/>
      <c r="D7" s="30"/>
      <c r="E7" s="30"/>
      <c r="F7" s="41" t="s">
        <v>244</v>
      </c>
      <c r="G7" s="30"/>
    </row>
    <row r="8" spans="1:22" ht="21.6" customHeight="1" x14ac:dyDescent="0.35">
      <c r="A8" s="41" t="s">
        <v>570</v>
      </c>
      <c r="B8" s="41"/>
      <c r="C8" s="41"/>
      <c r="D8" s="30"/>
      <c r="E8" s="30"/>
      <c r="F8" s="30"/>
      <c r="G8" s="30"/>
    </row>
    <row r="9" spans="1:22" x14ac:dyDescent="0.35">
      <c r="A9" s="30"/>
      <c r="B9" s="30"/>
      <c r="C9" s="30"/>
      <c r="D9" s="30"/>
      <c r="E9" s="30" t="s">
        <v>563</v>
      </c>
      <c r="F9" s="41"/>
      <c r="G9" s="30"/>
    </row>
    <row r="10" spans="1:22" s="44" customFormat="1" ht="44.25" customHeight="1" x14ac:dyDescent="0.3">
      <c r="A10" s="52" t="s">
        <v>541</v>
      </c>
      <c r="B10" s="52" t="s">
        <v>549</v>
      </c>
      <c r="C10" s="52" t="s">
        <v>568</v>
      </c>
      <c r="D10" s="52" t="s">
        <v>542</v>
      </c>
      <c r="E10" s="52" t="s">
        <v>5</v>
      </c>
      <c r="F10" s="52" t="s">
        <v>543</v>
      </c>
      <c r="G10" s="52" t="s">
        <v>6</v>
      </c>
      <c r="H10" s="44" t="s">
        <v>244</v>
      </c>
      <c r="I10"/>
      <c r="J10"/>
      <c r="K10"/>
      <c r="L10"/>
      <c r="M10"/>
      <c r="N10"/>
      <c r="O10"/>
    </row>
    <row r="11" spans="1:22" s="44" customFormat="1" ht="24" customHeight="1" x14ac:dyDescent="0.3">
      <c r="A11" s="75">
        <v>1</v>
      </c>
      <c r="B11" s="50" t="s">
        <v>1290</v>
      </c>
      <c r="C11" s="45" t="str">
        <f>IFERROR(VLOOKUP(B11,khoson,2,0),"")</f>
        <v>Sơn pha 7505c-pt</v>
      </c>
      <c r="D11" s="45" t="str">
        <f>IFERROR(VLOOKUP(B11,khoson,3,0),"")</f>
        <v>Kg</v>
      </c>
      <c r="E11" s="51">
        <v>2.5</v>
      </c>
      <c r="F11" s="46">
        <v>170000</v>
      </c>
      <c r="G11" s="47">
        <f>F11*E11</f>
        <v>425000</v>
      </c>
      <c r="I11"/>
      <c r="J11" s="1"/>
      <c r="K11"/>
      <c r="L11" s="1"/>
      <c r="M11" s="1"/>
      <c r="N11" s="1"/>
      <c r="O11" s="1"/>
      <c r="P11" s="1"/>
    </row>
    <row r="12" spans="1:22" ht="21" customHeight="1" x14ac:dyDescent="0.35">
      <c r="A12" s="76" t="s">
        <v>574</v>
      </c>
      <c r="B12" s="77"/>
      <c r="C12" s="77"/>
      <c r="D12" s="77"/>
      <c r="E12" s="77"/>
      <c r="F12" s="78"/>
      <c r="G12" s="49">
        <f>SUM(G11:G11)</f>
        <v>425000</v>
      </c>
      <c r="H12" s="44"/>
      <c r="J12" s="68"/>
      <c r="K12" s="22"/>
      <c r="L12" s="1"/>
      <c r="M12" s="1"/>
      <c r="N12" s="1"/>
      <c r="O12" s="2"/>
      <c r="P12" s="1"/>
      <c r="Q12" s="44"/>
      <c r="R12" s="44"/>
      <c r="S12" s="44"/>
      <c r="T12" s="44"/>
      <c r="U12" s="44"/>
      <c r="V12" s="44"/>
    </row>
    <row r="13" spans="1:22" ht="21" customHeight="1" x14ac:dyDescent="0.35">
      <c r="A13" s="76" t="s">
        <v>544</v>
      </c>
      <c r="B13" s="77"/>
      <c r="C13" s="77"/>
      <c r="D13" s="77"/>
      <c r="E13" s="77"/>
      <c r="F13" s="78"/>
      <c r="G13" s="74">
        <f>G12</f>
        <v>425000</v>
      </c>
      <c r="H13" s="44"/>
      <c r="J13" s="68"/>
      <c r="K13" s="22"/>
      <c r="L13" s="1"/>
      <c r="M13" s="1"/>
      <c r="N13" s="1"/>
      <c r="O13" s="2"/>
      <c r="P13" s="1"/>
      <c r="Q13" s="44"/>
      <c r="R13" s="44"/>
      <c r="S13" s="44"/>
      <c r="T13" s="44"/>
      <c r="U13" s="44"/>
      <c r="V13" s="44"/>
    </row>
    <row r="14" spans="1:22" ht="24.75" customHeight="1" x14ac:dyDescent="0.35">
      <c r="A14" s="42" t="s">
        <v>545</v>
      </c>
      <c r="B14" s="38"/>
      <c r="C14" s="30"/>
      <c r="D14" s="30"/>
      <c r="E14" s="30"/>
      <c r="F14" s="41"/>
      <c r="G14" s="30" t="s">
        <v>563</v>
      </c>
      <c r="H14" s="44"/>
      <c r="P14" s="44"/>
      <c r="Q14" s="44"/>
      <c r="R14" s="44"/>
      <c r="S14" s="44"/>
      <c r="T14" s="44"/>
      <c r="U14" s="44"/>
      <c r="V14" s="44"/>
    </row>
    <row r="15" spans="1:22" ht="27" customHeight="1" x14ac:dyDescent="0.35">
      <c r="A15" s="30"/>
      <c r="B15" s="30"/>
      <c r="C15" s="30"/>
      <c r="D15" s="30"/>
      <c r="E15" s="66" t="s">
        <v>1273</v>
      </c>
      <c r="F15" s="66"/>
      <c r="G15" s="66"/>
      <c r="H15" s="44"/>
      <c r="P15" s="44"/>
      <c r="Q15" s="44"/>
      <c r="R15" s="44"/>
      <c r="S15" s="44"/>
      <c r="T15" s="44"/>
      <c r="U15" s="44"/>
      <c r="V15" s="44"/>
    </row>
    <row r="16" spans="1:22" ht="22.2" customHeight="1" x14ac:dyDescent="0.35">
      <c r="A16" s="79" t="s">
        <v>349</v>
      </c>
      <c r="B16" s="79"/>
      <c r="C16" s="53" t="s">
        <v>547</v>
      </c>
      <c r="D16" s="79" t="s">
        <v>548</v>
      </c>
      <c r="E16" s="79"/>
      <c r="F16" s="79" t="s">
        <v>199</v>
      </c>
      <c r="G16" s="79"/>
      <c r="H16" s="44"/>
      <c r="P16" s="44"/>
      <c r="Q16" s="44"/>
      <c r="R16" s="44"/>
      <c r="S16" s="44"/>
      <c r="T16" s="44"/>
      <c r="U16" s="44"/>
      <c r="V16" s="44"/>
    </row>
    <row r="17" spans="1:22" ht="22.2" customHeight="1" x14ac:dyDescent="0.35">
      <c r="A17" s="79" t="s">
        <v>546</v>
      </c>
      <c r="B17" s="79"/>
      <c r="C17" s="53" t="s">
        <v>546</v>
      </c>
      <c r="D17" s="79" t="s">
        <v>546</v>
      </c>
      <c r="E17" s="79"/>
      <c r="F17" s="79" t="s">
        <v>546</v>
      </c>
      <c r="G17" s="79"/>
      <c r="H17" s="44"/>
      <c r="P17" s="44"/>
      <c r="Q17" s="44"/>
      <c r="R17" s="44"/>
      <c r="S17" s="44"/>
      <c r="T17" s="44"/>
      <c r="U17" s="44"/>
      <c r="V17" s="44"/>
    </row>
    <row r="18" spans="1:22" ht="30" customHeight="1" x14ac:dyDescent="0.35">
      <c r="A18" s="30"/>
      <c r="B18" s="30"/>
      <c r="C18" s="30"/>
      <c r="D18" s="30"/>
      <c r="E18" s="30"/>
      <c r="F18" s="41"/>
      <c r="G18" s="30"/>
      <c r="H18" s="44"/>
    </row>
    <row r="19" spans="1:22" x14ac:dyDescent="0.35">
      <c r="A19" s="30"/>
      <c r="B19" s="30"/>
      <c r="C19" s="30"/>
      <c r="D19" s="30"/>
      <c r="E19" s="30"/>
      <c r="F19" s="41"/>
      <c r="G19" s="30"/>
      <c r="H19" s="44"/>
    </row>
    <row r="20" spans="1:22" x14ac:dyDescent="0.35">
      <c r="A20" s="30"/>
      <c r="B20" s="30"/>
      <c r="C20" s="30"/>
      <c r="D20" s="30"/>
      <c r="E20" s="30"/>
      <c r="F20" s="41"/>
      <c r="G20" s="30"/>
      <c r="H20" s="44"/>
    </row>
    <row r="21" spans="1:22" x14ac:dyDescent="0.35">
      <c r="A21" s="30"/>
      <c r="B21" s="30"/>
      <c r="C21" s="30"/>
      <c r="D21" s="30"/>
      <c r="G21" s="30"/>
      <c r="H21" s="44"/>
    </row>
    <row r="22" spans="1:22" x14ac:dyDescent="0.35">
      <c r="A22" s="30"/>
      <c r="B22" s="30"/>
      <c r="C22" s="30"/>
      <c r="D22" s="30"/>
      <c r="G22" s="30"/>
    </row>
    <row r="23" spans="1:22" x14ac:dyDescent="0.35">
      <c r="A23" s="30"/>
      <c r="B23" s="30"/>
      <c r="C23" s="30"/>
      <c r="D23" s="30"/>
      <c r="E23" s="30"/>
      <c r="F23" s="41"/>
      <c r="G23" s="30"/>
    </row>
    <row r="24" spans="1:22" x14ac:dyDescent="0.35">
      <c r="A24" s="30"/>
      <c r="B24" s="30"/>
      <c r="C24" s="30"/>
      <c r="D24" s="30"/>
      <c r="E24" s="30"/>
      <c r="F24" s="41"/>
      <c r="G24" s="30"/>
    </row>
    <row r="25" spans="1:22" x14ac:dyDescent="0.35">
      <c r="A25" s="30"/>
      <c r="B25" s="30"/>
      <c r="C25" s="30"/>
      <c r="D25" s="30"/>
      <c r="E25" s="30"/>
      <c r="F25" s="41"/>
      <c r="G25" s="30"/>
    </row>
    <row r="26" spans="1:22" x14ac:dyDescent="0.35">
      <c r="A26" s="30"/>
      <c r="B26" s="30"/>
      <c r="C26" s="30"/>
      <c r="D26" s="30"/>
      <c r="E26" s="30"/>
      <c r="F26" s="41"/>
      <c r="G26" s="30"/>
    </row>
    <row r="27" spans="1:22" x14ac:dyDescent="0.35">
      <c r="A27" s="30"/>
      <c r="B27" s="30"/>
      <c r="C27" s="30"/>
      <c r="D27" s="30"/>
      <c r="E27" s="30"/>
      <c r="F27" s="41"/>
      <c r="G27" s="30"/>
    </row>
    <row r="28" spans="1:22" x14ac:dyDescent="0.35">
      <c r="A28" s="1"/>
      <c r="B28" s="1"/>
      <c r="C28" s="1"/>
      <c r="D28" s="1"/>
      <c r="E28" s="1"/>
      <c r="F28" s="41"/>
      <c r="G28" s="1"/>
    </row>
    <row r="29" spans="1:22" x14ac:dyDescent="0.35">
      <c r="A29" s="1"/>
      <c r="B29" s="1"/>
      <c r="C29" s="1"/>
      <c r="D29" s="1"/>
      <c r="E29" s="1"/>
      <c r="F29" s="41"/>
      <c r="G29" s="1"/>
    </row>
    <row r="30" spans="1:22" x14ac:dyDescent="0.35">
      <c r="A30" s="1"/>
      <c r="B30" s="1"/>
      <c r="C30" s="1"/>
      <c r="D30" s="1"/>
      <c r="E30" s="1"/>
      <c r="F30" s="41"/>
      <c r="G30" s="1"/>
    </row>
    <row r="31" spans="1:22" x14ac:dyDescent="0.35">
      <c r="A31" s="1"/>
      <c r="B31" s="1"/>
      <c r="C31" s="1"/>
      <c r="D31" s="1"/>
      <c r="E31" s="1"/>
      <c r="F31" s="41"/>
      <c r="G31" s="1"/>
    </row>
    <row r="32" spans="1:22" x14ac:dyDescent="0.35">
      <c r="A32" s="1"/>
      <c r="B32" s="1"/>
      <c r="C32" s="1"/>
      <c r="D32" s="1"/>
      <c r="E32" s="1"/>
      <c r="F32" s="41"/>
      <c r="G32" s="1"/>
    </row>
    <row r="33" spans="1:7" x14ac:dyDescent="0.35">
      <c r="A33" s="1"/>
      <c r="B33" s="1"/>
      <c r="C33" s="1"/>
      <c r="D33" s="1"/>
      <c r="E33" s="1"/>
      <c r="F33" s="41"/>
      <c r="G33" s="1"/>
    </row>
    <row r="34" spans="1:7" x14ac:dyDescent="0.35">
      <c r="A34" s="1"/>
      <c r="B34" s="1"/>
      <c r="C34" s="1"/>
      <c r="D34" s="1"/>
      <c r="E34" s="1"/>
      <c r="F34" s="41"/>
      <c r="G34" s="1"/>
    </row>
  </sheetData>
  <mergeCells count="13">
    <mergeCell ref="A13:F13"/>
    <mergeCell ref="A16:B16"/>
    <mergeCell ref="D16:E16"/>
    <mergeCell ref="F16:G16"/>
    <mergeCell ref="A17:B17"/>
    <mergeCell ref="D17:E17"/>
    <mergeCell ref="F17:G17"/>
    <mergeCell ref="A3:B3"/>
    <mergeCell ref="A4:G4"/>
    <mergeCell ref="A5:G5"/>
    <mergeCell ref="C6:E6"/>
    <mergeCell ref="A7:C7"/>
    <mergeCell ref="A12:F12"/>
  </mergeCells>
  <pageMargins left="0.4" right="0.23" top="0.31" bottom="0.16" header="0.3" footer="0.3"/>
  <pageSetup paperSize="9" scale="84" fitToHeight="0" orientation="portrait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5C5CF-6CAF-465E-9D0D-C5F23EA32F3E}">
  <sheetPr>
    <pageSetUpPr fitToPage="1"/>
  </sheetPr>
  <dimension ref="A1:V34"/>
  <sheetViews>
    <sheetView workbookViewId="0">
      <selection activeCell="A5" sqref="A5:G5"/>
    </sheetView>
  </sheetViews>
  <sheetFormatPr defaultRowHeight="18" x14ac:dyDescent="0.35"/>
  <cols>
    <col min="1" max="1" width="6.88671875" customWidth="1"/>
    <col min="2" max="2" width="23.33203125" customWidth="1"/>
    <col min="3" max="3" width="30.5546875" customWidth="1"/>
    <col min="4" max="4" width="10.109375" customWidth="1"/>
    <col min="5" max="5" width="14.6640625" customWidth="1"/>
    <col min="6" max="6" width="14" style="43" customWidth="1"/>
    <col min="7" max="7" width="15.109375" customWidth="1"/>
    <col min="8" max="8" width="16.44140625" customWidth="1"/>
    <col min="10" max="10" width="10.109375" bestFit="1" customWidth="1"/>
  </cols>
  <sheetData>
    <row r="1" spans="1:22" ht="22.5" customHeight="1" x14ac:dyDescent="0.35">
      <c r="A1" s="41" t="s">
        <v>538</v>
      </c>
      <c r="B1" s="41"/>
      <c r="C1" s="41"/>
      <c r="D1" s="30"/>
      <c r="E1" s="30"/>
      <c r="F1" s="41"/>
      <c r="G1" s="30"/>
    </row>
    <row r="2" spans="1:22" ht="18.600000000000001" customHeight="1" x14ac:dyDescent="0.35">
      <c r="A2" s="41" t="s">
        <v>998</v>
      </c>
      <c r="B2" s="41"/>
      <c r="C2" s="41"/>
      <c r="D2" s="30"/>
      <c r="E2" s="30"/>
      <c r="F2" s="41"/>
      <c r="G2" s="30"/>
    </row>
    <row r="3" spans="1:22" x14ac:dyDescent="0.35">
      <c r="A3" s="80">
        <f ca="1">NOW()</f>
        <v>46273.708471180558</v>
      </c>
      <c r="B3" s="80"/>
      <c r="C3" s="30"/>
      <c r="D3" s="30"/>
      <c r="E3" s="30"/>
      <c r="F3" s="41"/>
      <c r="G3" s="30"/>
    </row>
    <row r="4" spans="1:22" ht="26.4" customHeight="1" x14ac:dyDescent="0.3">
      <c r="A4" s="81" t="s">
        <v>539</v>
      </c>
      <c r="B4" s="81"/>
      <c r="C4" s="81"/>
      <c r="D4" s="81"/>
      <c r="E4" s="81"/>
      <c r="F4" s="81"/>
      <c r="G4" s="81"/>
    </row>
    <row r="5" spans="1:22" ht="20.25" customHeight="1" x14ac:dyDescent="0.3">
      <c r="A5" s="82" t="s">
        <v>1288</v>
      </c>
      <c r="B5" s="82"/>
      <c r="C5" s="82"/>
      <c r="D5" s="82"/>
      <c r="E5" s="82"/>
      <c r="F5" s="82"/>
      <c r="G5" s="82"/>
    </row>
    <row r="6" spans="1:22" ht="21.6" customHeight="1" x14ac:dyDescent="0.35">
      <c r="A6" s="41" t="s">
        <v>573</v>
      </c>
      <c r="B6" s="41"/>
      <c r="C6" s="83" t="s">
        <v>1283</v>
      </c>
      <c r="D6" s="83"/>
      <c r="E6" s="83"/>
      <c r="F6" s="41"/>
      <c r="G6" s="30"/>
    </row>
    <row r="7" spans="1:22" ht="21.6" customHeight="1" x14ac:dyDescent="0.35">
      <c r="A7" s="84" t="s">
        <v>540</v>
      </c>
      <c r="B7" s="84"/>
      <c r="C7" s="84"/>
      <c r="D7" s="30"/>
      <c r="E7" s="30"/>
      <c r="F7" s="41" t="s">
        <v>244</v>
      </c>
      <c r="G7" s="30"/>
    </row>
    <row r="8" spans="1:22" ht="21.6" customHeight="1" x14ac:dyDescent="0.35">
      <c r="A8" s="41" t="s">
        <v>570</v>
      </c>
      <c r="B8" s="41"/>
      <c r="C8" s="41"/>
      <c r="D8" s="30"/>
      <c r="E8" s="30"/>
      <c r="F8" s="30"/>
      <c r="G8" s="30"/>
    </row>
    <row r="9" spans="1:22" x14ac:dyDescent="0.35">
      <c r="A9" s="30"/>
      <c r="B9" s="30"/>
      <c r="C9" s="30"/>
      <c r="D9" s="30"/>
      <c r="E9" s="30" t="s">
        <v>563</v>
      </c>
      <c r="F9" s="41"/>
      <c r="G9" s="30"/>
    </row>
    <row r="10" spans="1:22" s="44" customFormat="1" ht="44.25" customHeight="1" x14ac:dyDescent="0.3">
      <c r="A10" s="52" t="s">
        <v>541</v>
      </c>
      <c r="B10" s="52" t="s">
        <v>549</v>
      </c>
      <c r="C10" s="52" t="s">
        <v>568</v>
      </c>
      <c r="D10" s="52" t="s">
        <v>542</v>
      </c>
      <c r="E10" s="52" t="s">
        <v>5</v>
      </c>
      <c r="F10" s="52" t="s">
        <v>543</v>
      </c>
      <c r="G10" s="52" t="s">
        <v>6</v>
      </c>
      <c r="H10" s="44" t="s">
        <v>244</v>
      </c>
      <c r="I10"/>
      <c r="J10"/>
      <c r="K10"/>
      <c r="L10"/>
      <c r="M10"/>
      <c r="N10"/>
      <c r="O10"/>
    </row>
    <row r="11" spans="1:22" s="44" customFormat="1" ht="24" customHeight="1" x14ac:dyDescent="0.3">
      <c r="A11" s="75">
        <v>1</v>
      </c>
      <c r="B11" s="50" t="s">
        <v>1290</v>
      </c>
      <c r="C11" s="45" t="str">
        <f>IFERROR(VLOOKUP(B11,khoson,2,0),"")</f>
        <v>Sơn pha 7505c-pt</v>
      </c>
      <c r="D11" s="45" t="str">
        <f>IFERROR(VLOOKUP(B11,khoson,3,0),"")</f>
        <v>Kg</v>
      </c>
      <c r="E11" s="51">
        <v>0.5</v>
      </c>
      <c r="F11" s="46">
        <v>170000</v>
      </c>
      <c r="G11" s="47">
        <f>F11*E11</f>
        <v>85000</v>
      </c>
      <c r="I11"/>
      <c r="J11" s="1"/>
      <c r="K11"/>
      <c r="L11" s="1"/>
      <c r="M11" s="1"/>
      <c r="N11" s="1"/>
      <c r="O11" s="1"/>
      <c r="P11" s="1"/>
    </row>
    <row r="12" spans="1:22" ht="21" customHeight="1" x14ac:dyDescent="0.35">
      <c r="A12" s="76" t="s">
        <v>574</v>
      </c>
      <c r="B12" s="77"/>
      <c r="C12" s="77"/>
      <c r="D12" s="77"/>
      <c r="E12" s="77"/>
      <c r="F12" s="78"/>
      <c r="G12" s="49">
        <f>SUM(G11:G11)</f>
        <v>85000</v>
      </c>
      <c r="H12" s="44"/>
      <c r="J12" s="68"/>
      <c r="K12" s="22"/>
      <c r="L12" s="1"/>
      <c r="M12" s="1"/>
      <c r="N12" s="1"/>
      <c r="O12" s="2"/>
      <c r="P12" s="1"/>
      <c r="Q12" s="44"/>
      <c r="R12" s="44"/>
      <c r="S12" s="44"/>
      <c r="T12" s="44"/>
      <c r="U12" s="44"/>
      <c r="V12" s="44"/>
    </row>
    <row r="13" spans="1:22" ht="21" customHeight="1" x14ac:dyDescent="0.35">
      <c r="A13" s="76" t="s">
        <v>544</v>
      </c>
      <c r="B13" s="77"/>
      <c r="C13" s="77"/>
      <c r="D13" s="77"/>
      <c r="E13" s="77"/>
      <c r="F13" s="78"/>
      <c r="G13" s="74">
        <f>G12</f>
        <v>85000</v>
      </c>
      <c r="H13" s="44"/>
      <c r="J13" s="68"/>
      <c r="K13" s="22"/>
      <c r="L13" s="1"/>
      <c r="M13" s="1"/>
      <c r="N13" s="1"/>
      <c r="O13" s="2"/>
      <c r="P13" s="1"/>
      <c r="Q13" s="44"/>
      <c r="R13" s="44"/>
      <c r="S13" s="44"/>
      <c r="T13" s="44"/>
      <c r="U13" s="44"/>
      <c r="V13" s="44"/>
    </row>
    <row r="14" spans="1:22" ht="24.75" customHeight="1" x14ac:dyDescent="0.35">
      <c r="A14" s="42" t="s">
        <v>545</v>
      </c>
      <c r="B14" s="38"/>
      <c r="C14" s="30"/>
      <c r="D14" s="30"/>
      <c r="E14" s="30"/>
      <c r="F14" s="41"/>
      <c r="G14" s="30" t="s">
        <v>563</v>
      </c>
      <c r="H14" s="44"/>
      <c r="P14" s="44"/>
      <c r="Q14" s="44"/>
      <c r="R14" s="44"/>
      <c r="S14" s="44"/>
      <c r="T14" s="44"/>
      <c r="U14" s="44"/>
      <c r="V14" s="44"/>
    </row>
    <row r="15" spans="1:22" ht="27" customHeight="1" x14ac:dyDescent="0.35">
      <c r="A15" s="30"/>
      <c r="B15" s="30"/>
      <c r="C15" s="30"/>
      <c r="D15" s="30"/>
      <c r="E15" s="66" t="s">
        <v>1273</v>
      </c>
      <c r="F15" s="66"/>
      <c r="G15" s="66"/>
      <c r="H15" s="44"/>
      <c r="P15" s="44"/>
      <c r="Q15" s="44"/>
      <c r="R15" s="44"/>
      <c r="S15" s="44"/>
      <c r="T15" s="44"/>
      <c r="U15" s="44"/>
      <c r="V15" s="44"/>
    </row>
    <row r="16" spans="1:22" ht="22.2" customHeight="1" x14ac:dyDescent="0.35">
      <c r="A16" s="79" t="s">
        <v>349</v>
      </c>
      <c r="B16" s="79"/>
      <c r="C16" s="53" t="s">
        <v>547</v>
      </c>
      <c r="D16" s="79" t="s">
        <v>548</v>
      </c>
      <c r="E16" s="79"/>
      <c r="F16" s="79" t="s">
        <v>199</v>
      </c>
      <c r="G16" s="79"/>
      <c r="H16" s="44"/>
      <c r="P16" s="44"/>
      <c r="Q16" s="44"/>
      <c r="R16" s="44"/>
      <c r="S16" s="44"/>
      <c r="T16" s="44"/>
      <c r="U16" s="44"/>
      <c r="V16" s="44"/>
    </row>
    <row r="17" spans="1:22" ht="22.2" customHeight="1" x14ac:dyDescent="0.35">
      <c r="A17" s="79" t="s">
        <v>546</v>
      </c>
      <c r="B17" s="79"/>
      <c r="C17" s="53" t="s">
        <v>546</v>
      </c>
      <c r="D17" s="79" t="s">
        <v>546</v>
      </c>
      <c r="E17" s="79"/>
      <c r="F17" s="79" t="s">
        <v>546</v>
      </c>
      <c r="G17" s="79"/>
      <c r="H17" s="44"/>
      <c r="P17" s="44"/>
      <c r="Q17" s="44"/>
      <c r="R17" s="44"/>
      <c r="S17" s="44"/>
      <c r="T17" s="44"/>
      <c r="U17" s="44"/>
      <c r="V17" s="44"/>
    </row>
    <row r="18" spans="1:22" ht="30" customHeight="1" x14ac:dyDescent="0.35">
      <c r="A18" s="30"/>
      <c r="B18" s="30"/>
      <c r="C18" s="30"/>
      <c r="D18" s="30"/>
      <c r="E18" s="30"/>
      <c r="F18" s="41"/>
      <c r="G18" s="30"/>
      <c r="H18" s="44"/>
    </row>
    <row r="19" spans="1:22" x14ac:dyDescent="0.35">
      <c r="A19" s="30"/>
      <c r="B19" s="30"/>
      <c r="C19" s="30"/>
      <c r="D19" s="30"/>
      <c r="E19" s="30"/>
      <c r="F19" s="41"/>
      <c r="G19" s="30"/>
      <c r="H19" s="44"/>
    </row>
    <row r="20" spans="1:22" x14ac:dyDescent="0.35">
      <c r="A20" s="30"/>
      <c r="B20" s="30"/>
      <c r="C20" s="30"/>
      <c r="D20" s="30"/>
      <c r="E20" s="30"/>
      <c r="F20" s="41"/>
      <c r="G20" s="30"/>
      <c r="H20" s="44"/>
    </row>
    <row r="21" spans="1:22" x14ac:dyDescent="0.35">
      <c r="A21" s="30"/>
      <c r="B21" s="30"/>
      <c r="C21" s="30"/>
      <c r="D21" s="30"/>
      <c r="G21" s="30"/>
      <c r="H21" s="44"/>
    </row>
    <row r="22" spans="1:22" x14ac:dyDescent="0.35">
      <c r="A22" s="30"/>
      <c r="B22" s="30"/>
      <c r="C22" s="30"/>
      <c r="D22" s="30"/>
      <c r="G22" s="30"/>
    </row>
    <row r="23" spans="1:22" x14ac:dyDescent="0.35">
      <c r="A23" s="30"/>
      <c r="B23" s="30"/>
      <c r="C23" s="30"/>
      <c r="D23" s="30"/>
      <c r="E23" s="30"/>
      <c r="F23" s="41"/>
      <c r="G23" s="30"/>
    </row>
    <row r="24" spans="1:22" x14ac:dyDescent="0.35">
      <c r="A24" s="30"/>
      <c r="B24" s="30"/>
      <c r="C24" s="30"/>
      <c r="D24" s="30"/>
      <c r="E24" s="30"/>
      <c r="F24" s="41"/>
      <c r="G24" s="30"/>
    </row>
    <row r="25" spans="1:22" x14ac:dyDescent="0.35">
      <c r="A25" s="30"/>
      <c r="B25" s="30"/>
      <c r="C25" s="30"/>
      <c r="D25" s="30"/>
      <c r="E25" s="30"/>
      <c r="F25" s="41"/>
      <c r="G25" s="30"/>
    </row>
    <row r="26" spans="1:22" x14ac:dyDescent="0.35">
      <c r="A26" s="30"/>
      <c r="B26" s="30"/>
      <c r="C26" s="30"/>
      <c r="D26" s="30"/>
      <c r="E26" s="30"/>
      <c r="F26" s="41"/>
      <c r="G26" s="30"/>
    </row>
    <row r="27" spans="1:22" x14ac:dyDescent="0.35">
      <c r="A27" s="30"/>
      <c r="B27" s="30"/>
      <c r="C27" s="30"/>
      <c r="D27" s="30"/>
      <c r="E27" s="30"/>
      <c r="F27" s="41"/>
      <c r="G27" s="30"/>
    </row>
    <row r="28" spans="1:22" x14ac:dyDescent="0.35">
      <c r="A28" s="1"/>
      <c r="B28" s="1"/>
      <c r="C28" s="1"/>
      <c r="D28" s="1"/>
      <c r="E28" s="1"/>
      <c r="F28" s="41"/>
      <c r="G28" s="1"/>
    </row>
    <row r="29" spans="1:22" x14ac:dyDescent="0.35">
      <c r="A29" s="1"/>
      <c r="B29" s="1"/>
      <c r="C29" s="1"/>
      <c r="D29" s="1"/>
      <c r="E29" s="1"/>
      <c r="F29" s="41"/>
      <c r="G29" s="1"/>
    </row>
    <row r="30" spans="1:22" x14ac:dyDescent="0.35">
      <c r="A30" s="1"/>
      <c r="B30" s="1"/>
      <c r="C30" s="1"/>
      <c r="D30" s="1"/>
      <c r="E30" s="1"/>
      <c r="F30" s="41"/>
      <c r="G30" s="1"/>
    </row>
    <row r="31" spans="1:22" x14ac:dyDescent="0.35">
      <c r="A31" s="1"/>
      <c r="B31" s="1"/>
      <c r="C31" s="1"/>
      <c r="D31" s="1"/>
      <c r="E31" s="1"/>
      <c r="F31" s="41"/>
      <c r="G31" s="1"/>
    </row>
    <row r="32" spans="1:22" x14ac:dyDescent="0.35">
      <c r="A32" s="1"/>
      <c r="B32" s="1"/>
      <c r="C32" s="1"/>
      <c r="D32" s="1"/>
      <c r="E32" s="1"/>
      <c r="F32" s="41"/>
      <c r="G32" s="1"/>
    </row>
    <row r="33" spans="1:7" x14ac:dyDescent="0.35">
      <c r="A33" s="1"/>
      <c r="B33" s="1"/>
      <c r="C33" s="1"/>
      <c r="D33" s="1"/>
      <c r="E33" s="1"/>
      <c r="F33" s="41"/>
      <c r="G33" s="1"/>
    </row>
    <row r="34" spans="1:7" x14ac:dyDescent="0.35">
      <c r="A34" s="1"/>
      <c r="B34" s="1"/>
      <c r="C34" s="1"/>
      <c r="D34" s="1"/>
      <c r="E34" s="1"/>
      <c r="F34" s="41"/>
      <c r="G34" s="1"/>
    </row>
  </sheetData>
  <mergeCells count="13">
    <mergeCell ref="A13:F13"/>
    <mergeCell ref="A16:B16"/>
    <mergeCell ref="D16:E16"/>
    <mergeCell ref="F16:G16"/>
    <mergeCell ref="A17:B17"/>
    <mergeCell ref="D17:E17"/>
    <mergeCell ref="F17:G17"/>
    <mergeCell ref="A3:B3"/>
    <mergeCell ref="A4:G4"/>
    <mergeCell ref="A5:G5"/>
    <mergeCell ref="C6:E6"/>
    <mergeCell ref="A7:C7"/>
    <mergeCell ref="A12:F12"/>
  </mergeCells>
  <pageMargins left="0.4" right="0.23" top="0.31" bottom="0.16" header="0.3" footer="0.3"/>
  <pageSetup paperSize="9" scale="84" fitToHeight="0" orientation="portrait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ED462-CBDA-4173-A598-5DF177D72FAA}">
  <sheetPr>
    <pageSetUpPr fitToPage="1"/>
  </sheetPr>
  <dimension ref="A1:V34"/>
  <sheetViews>
    <sheetView tabSelected="1" workbookViewId="0">
      <selection activeCell="H5" sqref="H5"/>
    </sheetView>
  </sheetViews>
  <sheetFormatPr defaultRowHeight="18" x14ac:dyDescent="0.35"/>
  <cols>
    <col min="1" max="1" width="6.88671875" customWidth="1"/>
    <col min="2" max="2" width="23.33203125" customWidth="1"/>
    <col min="3" max="3" width="30.5546875" customWidth="1"/>
    <col min="4" max="4" width="10.109375" customWidth="1"/>
    <col min="5" max="5" width="14.6640625" customWidth="1"/>
    <col min="6" max="6" width="14" style="43" customWidth="1"/>
    <col min="7" max="7" width="15.109375" customWidth="1"/>
    <col min="8" max="8" width="16.44140625" customWidth="1"/>
    <col min="10" max="10" width="10.109375" bestFit="1" customWidth="1"/>
  </cols>
  <sheetData>
    <row r="1" spans="1:22" ht="22.5" customHeight="1" x14ac:dyDescent="0.35">
      <c r="A1" s="41" t="s">
        <v>538</v>
      </c>
      <c r="B1" s="41"/>
      <c r="C1" s="41"/>
      <c r="D1" s="30"/>
      <c r="E1" s="30"/>
      <c r="F1" s="41"/>
      <c r="G1" s="30"/>
    </row>
    <row r="2" spans="1:22" ht="18.600000000000001" customHeight="1" x14ac:dyDescent="0.35">
      <c r="A2" s="41" t="s">
        <v>998</v>
      </c>
      <c r="B2" s="41"/>
      <c r="C2" s="41"/>
      <c r="D2" s="30"/>
      <c r="E2" s="30"/>
      <c r="F2" s="41"/>
      <c r="G2" s="30"/>
    </row>
    <row r="3" spans="1:22" x14ac:dyDescent="0.35">
      <c r="A3" s="80">
        <f ca="1">NOW()</f>
        <v>46273.708471180558</v>
      </c>
      <c r="B3" s="80"/>
      <c r="C3" s="30"/>
      <c r="D3" s="30"/>
      <c r="E3" s="30"/>
      <c r="F3" s="41"/>
      <c r="G3" s="30"/>
    </row>
    <row r="4" spans="1:22" ht="26.4" customHeight="1" x14ac:dyDescent="0.3">
      <c r="A4" s="81" t="s">
        <v>539</v>
      </c>
      <c r="B4" s="81"/>
      <c r="C4" s="81"/>
      <c r="D4" s="81"/>
      <c r="E4" s="81"/>
      <c r="F4" s="81"/>
      <c r="G4" s="81"/>
    </row>
    <row r="5" spans="1:22" ht="20.25" customHeight="1" x14ac:dyDescent="0.3">
      <c r="A5" s="82" t="s">
        <v>1288</v>
      </c>
      <c r="B5" s="82"/>
      <c r="C5" s="82"/>
      <c r="D5" s="82"/>
      <c r="E5" s="82"/>
      <c r="F5" s="82"/>
      <c r="G5" s="82"/>
    </row>
    <row r="6" spans="1:22" ht="21.6" customHeight="1" x14ac:dyDescent="0.35">
      <c r="A6" s="41" t="s">
        <v>573</v>
      </c>
      <c r="B6" s="41"/>
      <c r="C6" s="83" t="s">
        <v>1281</v>
      </c>
      <c r="D6" s="83"/>
      <c r="E6" s="83"/>
      <c r="F6" s="41"/>
      <c r="G6" s="30"/>
    </row>
    <row r="7" spans="1:22" ht="21.6" customHeight="1" x14ac:dyDescent="0.35">
      <c r="A7" s="84" t="s">
        <v>540</v>
      </c>
      <c r="B7" s="84"/>
      <c r="C7" s="84"/>
      <c r="D7" s="30"/>
      <c r="E7" s="30"/>
      <c r="F7" s="41" t="s">
        <v>244</v>
      </c>
      <c r="G7" s="30"/>
    </row>
    <row r="8" spans="1:22" ht="21.6" customHeight="1" x14ac:dyDescent="0.35">
      <c r="A8" s="41" t="s">
        <v>570</v>
      </c>
      <c r="B8" s="41"/>
      <c r="C8" s="41"/>
      <c r="D8" s="30"/>
      <c r="E8" s="30"/>
      <c r="F8" s="30"/>
      <c r="G8" s="30"/>
    </row>
    <row r="9" spans="1:22" x14ac:dyDescent="0.35">
      <c r="A9" s="30"/>
      <c r="B9" s="30"/>
      <c r="C9" s="30"/>
      <c r="D9" s="30"/>
      <c r="E9" s="30" t="s">
        <v>563</v>
      </c>
      <c r="F9" s="41"/>
      <c r="G9" s="30"/>
    </row>
    <row r="10" spans="1:22" s="44" customFormat="1" ht="44.25" customHeight="1" x14ac:dyDescent="0.3">
      <c r="A10" s="52" t="s">
        <v>541</v>
      </c>
      <c r="B10" s="52" t="s">
        <v>549</v>
      </c>
      <c r="C10" s="52" t="s">
        <v>568</v>
      </c>
      <c r="D10" s="52" t="s">
        <v>542</v>
      </c>
      <c r="E10" s="52" t="s">
        <v>5</v>
      </c>
      <c r="F10" s="52" t="s">
        <v>543</v>
      </c>
      <c r="G10" s="52" t="s">
        <v>6</v>
      </c>
      <c r="H10" s="44" t="s">
        <v>244</v>
      </c>
      <c r="I10"/>
      <c r="J10"/>
      <c r="K10"/>
      <c r="L10"/>
      <c r="M10"/>
      <c r="N10"/>
      <c r="O10"/>
    </row>
    <row r="11" spans="1:22" s="44" customFormat="1" ht="24" customHeight="1" x14ac:dyDescent="0.3">
      <c r="A11" s="75">
        <v>1</v>
      </c>
      <c r="B11" s="50" t="s">
        <v>1291</v>
      </c>
      <c r="C11" s="45" t="str">
        <f>IFERROR(VLOOKUP(B11,khoson,2,0),"")</f>
        <v>Sơn pha 275C</v>
      </c>
      <c r="D11" s="45" t="str">
        <f>IFERROR(VLOOKUP(B11,khoson,3,0),"")</f>
        <v>Kg</v>
      </c>
      <c r="E11" s="51">
        <v>0.5</v>
      </c>
      <c r="F11" s="46">
        <v>170000</v>
      </c>
      <c r="G11" s="47">
        <f>F11*E11</f>
        <v>85000</v>
      </c>
      <c r="I11"/>
      <c r="J11" s="1"/>
      <c r="K11"/>
      <c r="L11" s="1"/>
      <c r="M11" s="1"/>
      <c r="N11" s="1"/>
      <c r="O11" s="1"/>
      <c r="P11" s="1"/>
    </row>
    <row r="12" spans="1:22" ht="21" customHeight="1" x14ac:dyDescent="0.35">
      <c r="A12" s="76" t="s">
        <v>574</v>
      </c>
      <c r="B12" s="77"/>
      <c r="C12" s="77"/>
      <c r="D12" s="77"/>
      <c r="E12" s="77"/>
      <c r="F12" s="78"/>
      <c r="G12" s="49">
        <f>SUM(G11:G11)</f>
        <v>85000</v>
      </c>
      <c r="H12" s="44"/>
      <c r="J12" s="68"/>
      <c r="K12" s="22"/>
      <c r="L12" s="1"/>
      <c r="M12" s="1"/>
      <c r="N12" s="1"/>
      <c r="O12" s="2"/>
      <c r="P12" s="1"/>
      <c r="Q12" s="44"/>
      <c r="R12" s="44"/>
      <c r="S12" s="44"/>
      <c r="T12" s="44"/>
      <c r="U12" s="44"/>
      <c r="V12" s="44"/>
    </row>
    <row r="13" spans="1:22" ht="21" customHeight="1" x14ac:dyDescent="0.35">
      <c r="A13" s="76" t="s">
        <v>544</v>
      </c>
      <c r="B13" s="77"/>
      <c r="C13" s="77"/>
      <c r="D13" s="77"/>
      <c r="E13" s="77"/>
      <c r="F13" s="78"/>
      <c r="G13" s="74">
        <f>G12</f>
        <v>85000</v>
      </c>
      <c r="H13" s="44"/>
      <c r="J13" s="68"/>
      <c r="K13" s="22"/>
      <c r="L13" s="1"/>
      <c r="M13" s="1"/>
      <c r="N13" s="1"/>
      <c r="O13" s="2"/>
      <c r="P13" s="1"/>
      <c r="Q13" s="44"/>
      <c r="R13" s="44"/>
      <c r="S13" s="44"/>
      <c r="T13" s="44"/>
      <c r="U13" s="44"/>
      <c r="V13" s="44"/>
    </row>
    <row r="14" spans="1:22" ht="24.75" customHeight="1" x14ac:dyDescent="0.35">
      <c r="A14" s="42" t="s">
        <v>545</v>
      </c>
      <c r="B14" s="38"/>
      <c r="C14" s="30"/>
      <c r="D14" s="30"/>
      <c r="E14" s="30"/>
      <c r="F14" s="41"/>
      <c r="G14" s="30" t="s">
        <v>563</v>
      </c>
      <c r="H14" s="44"/>
      <c r="P14" s="44"/>
      <c r="Q14" s="44"/>
      <c r="R14" s="44"/>
      <c r="S14" s="44"/>
      <c r="T14" s="44"/>
      <c r="U14" s="44"/>
      <c r="V14" s="44"/>
    </row>
    <row r="15" spans="1:22" ht="27" customHeight="1" x14ac:dyDescent="0.35">
      <c r="A15" s="30"/>
      <c r="B15" s="30"/>
      <c r="C15" s="30"/>
      <c r="D15" s="30"/>
      <c r="E15" s="66" t="s">
        <v>1273</v>
      </c>
      <c r="F15" s="66"/>
      <c r="G15" s="66"/>
      <c r="H15" s="44"/>
      <c r="P15" s="44"/>
      <c r="Q15" s="44"/>
      <c r="R15" s="44"/>
      <c r="S15" s="44"/>
      <c r="T15" s="44"/>
      <c r="U15" s="44"/>
      <c r="V15" s="44"/>
    </row>
    <row r="16" spans="1:22" ht="22.2" customHeight="1" x14ac:dyDescent="0.35">
      <c r="A16" s="79" t="s">
        <v>349</v>
      </c>
      <c r="B16" s="79"/>
      <c r="C16" s="53" t="s">
        <v>547</v>
      </c>
      <c r="D16" s="79" t="s">
        <v>548</v>
      </c>
      <c r="E16" s="79"/>
      <c r="F16" s="79" t="s">
        <v>199</v>
      </c>
      <c r="G16" s="79"/>
      <c r="H16" s="44"/>
      <c r="P16" s="44"/>
      <c r="Q16" s="44"/>
      <c r="R16" s="44"/>
      <c r="S16" s="44"/>
      <c r="T16" s="44"/>
      <c r="U16" s="44"/>
      <c r="V16" s="44"/>
    </row>
    <row r="17" spans="1:22" ht="22.2" customHeight="1" x14ac:dyDescent="0.35">
      <c r="A17" s="79" t="s">
        <v>546</v>
      </c>
      <c r="B17" s="79"/>
      <c r="C17" s="53" t="s">
        <v>546</v>
      </c>
      <c r="D17" s="79" t="s">
        <v>546</v>
      </c>
      <c r="E17" s="79"/>
      <c r="F17" s="79" t="s">
        <v>546</v>
      </c>
      <c r="G17" s="79"/>
      <c r="H17" s="44"/>
      <c r="P17" s="44"/>
      <c r="Q17" s="44"/>
      <c r="R17" s="44"/>
      <c r="S17" s="44"/>
      <c r="T17" s="44"/>
      <c r="U17" s="44"/>
      <c r="V17" s="44"/>
    </row>
    <row r="18" spans="1:22" ht="30" customHeight="1" x14ac:dyDescent="0.35">
      <c r="A18" s="30"/>
      <c r="B18" s="30"/>
      <c r="C18" s="30"/>
      <c r="D18" s="30"/>
      <c r="E18" s="30"/>
      <c r="F18" s="41"/>
      <c r="G18" s="30"/>
      <c r="H18" s="44"/>
    </row>
    <row r="19" spans="1:22" x14ac:dyDescent="0.35">
      <c r="A19" s="30"/>
      <c r="B19" s="30"/>
      <c r="C19" s="30"/>
      <c r="D19" s="30"/>
      <c r="E19" s="30"/>
      <c r="F19" s="41"/>
      <c r="G19" s="30"/>
      <c r="H19" s="44"/>
    </row>
    <row r="20" spans="1:22" x14ac:dyDescent="0.35">
      <c r="A20" s="30"/>
      <c r="B20" s="30"/>
      <c r="C20" s="30"/>
      <c r="D20" s="30"/>
      <c r="E20" s="30"/>
      <c r="F20" s="41"/>
      <c r="G20" s="30"/>
      <c r="H20" s="44"/>
    </row>
    <row r="21" spans="1:22" x14ac:dyDescent="0.35">
      <c r="A21" s="30"/>
      <c r="B21" s="30"/>
      <c r="C21" s="30"/>
      <c r="D21" s="30"/>
      <c r="G21" s="30"/>
      <c r="H21" s="44"/>
    </row>
    <row r="22" spans="1:22" x14ac:dyDescent="0.35">
      <c r="A22" s="30"/>
      <c r="B22" s="30"/>
      <c r="C22" s="30"/>
      <c r="D22" s="30"/>
      <c r="G22" s="30"/>
    </row>
    <row r="23" spans="1:22" x14ac:dyDescent="0.35">
      <c r="A23" s="30"/>
      <c r="B23" s="30"/>
      <c r="C23" s="30"/>
      <c r="D23" s="30"/>
      <c r="E23" s="30"/>
      <c r="F23" s="41"/>
      <c r="G23" s="30"/>
    </row>
    <row r="24" spans="1:22" x14ac:dyDescent="0.35">
      <c r="A24" s="30"/>
      <c r="B24" s="30"/>
      <c r="C24" s="30"/>
      <c r="D24" s="30"/>
      <c r="E24" s="30"/>
      <c r="F24" s="41"/>
      <c r="G24" s="30"/>
    </row>
    <row r="25" spans="1:22" x14ac:dyDescent="0.35">
      <c r="A25" s="30"/>
      <c r="B25" s="30"/>
      <c r="C25" s="30"/>
      <c r="D25" s="30"/>
      <c r="E25" s="30"/>
      <c r="F25" s="41"/>
      <c r="G25" s="30"/>
    </row>
    <row r="26" spans="1:22" x14ac:dyDescent="0.35">
      <c r="A26" s="30"/>
      <c r="B26" s="30"/>
      <c r="C26" s="30"/>
      <c r="D26" s="30"/>
      <c r="E26" s="30"/>
      <c r="F26" s="41"/>
      <c r="G26" s="30"/>
    </row>
    <row r="27" spans="1:22" x14ac:dyDescent="0.35">
      <c r="A27" s="30"/>
      <c r="B27" s="30"/>
      <c r="C27" s="30"/>
      <c r="D27" s="30"/>
      <c r="E27" s="30"/>
      <c r="F27" s="41"/>
      <c r="G27" s="30"/>
    </row>
    <row r="28" spans="1:22" x14ac:dyDescent="0.35">
      <c r="A28" s="1"/>
      <c r="B28" s="1"/>
      <c r="C28" s="1"/>
      <c r="D28" s="1"/>
      <c r="E28" s="1"/>
      <c r="F28" s="41"/>
      <c r="G28" s="1"/>
    </row>
    <row r="29" spans="1:22" x14ac:dyDescent="0.35">
      <c r="A29" s="1"/>
      <c r="B29" s="1"/>
      <c r="C29" s="1"/>
      <c r="D29" s="1"/>
      <c r="E29" s="1"/>
      <c r="F29" s="41"/>
      <c r="G29" s="1"/>
    </row>
    <row r="30" spans="1:22" x14ac:dyDescent="0.35">
      <c r="A30" s="1"/>
      <c r="B30" s="1"/>
      <c r="C30" s="1"/>
      <c r="D30" s="1"/>
      <c r="E30" s="1"/>
      <c r="F30" s="41"/>
      <c r="G30" s="1"/>
    </row>
    <row r="31" spans="1:22" x14ac:dyDescent="0.35">
      <c r="A31" s="1"/>
      <c r="B31" s="1"/>
      <c r="C31" s="1"/>
      <c r="D31" s="1"/>
      <c r="E31" s="1"/>
      <c r="F31" s="41"/>
      <c r="G31" s="1"/>
    </row>
    <row r="32" spans="1:22" x14ac:dyDescent="0.35">
      <c r="A32" s="1"/>
      <c r="B32" s="1"/>
      <c r="C32" s="1"/>
      <c r="D32" s="1"/>
      <c r="E32" s="1"/>
      <c r="F32" s="41"/>
      <c r="G32" s="1"/>
    </row>
    <row r="33" spans="1:7" x14ac:dyDescent="0.35">
      <c r="A33" s="1"/>
      <c r="B33" s="1"/>
      <c r="C33" s="1"/>
      <c r="D33" s="1"/>
      <c r="E33" s="1"/>
      <c r="F33" s="41"/>
      <c r="G33" s="1"/>
    </row>
    <row r="34" spans="1:7" x14ac:dyDescent="0.35">
      <c r="A34" s="1"/>
      <c r="B34" s="1"/>
      <c r="C34" s="1"/>
      <c r="D34" s="1"/>
      <c r="E34" s="1"/>
      <c r="F34" s="41"/>
      <c r="G34" s="1"/>
    </row>
  </sheetData>
  <mergeCells count="13">
    <mergeCell ref="A13:F13"/>
    <mergeCell ref="A16:B16"/>
    <mergeCell ref="D16:E16"/>
    <mergeCell ref="F16:G16"/>
    <mergeCell ref="A17:B17"/>
    <mergeCell ref="D17:E17"/>
    <mergeCell ref="F17:G17"/>
    <mergeCell ref="A3:B3"/>
    <mergeCell ref="A4:G4"/>
    <mergeCell ref="A5:G5"/>
    <mergeCell ref="C6:E6"/>
    <mergeCell ref="A7:C7"/>
    <mergeCell ref="A12:F12"/>
  </mergeCells>
  <pageMargins left="0.4" right="0.23" top="0.31" bottom="0.16" header="0.3" footer="0.3"/>
  <pageSetup paperSize="9" scale="84" fitToHeight="0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22C5D-5D36-49AE-A5E8-08A490BB21E4}">
  <sheetPr>
    <pageSetUpPr fitToPage="1"/>
  </sheetPr>
  <dimension ref="A1:V34"/>
  <sheetViews>
    <sheetView workbookViewId="0">
      <selection activeCell="J11" sqref="J11"/>
    </sheetView>
  </sheetViews>
  <sheetFormatPr defaultRowHeight="18" x14ac:dyDescent="0.35"/>
  <cols>
    <col min="1" max="1" width="6.88671875" customWidth="1"/>
    <col min="2" max="2" width="23.33203125" customWidth="1"/>
    <col min="3" max="3" width="30.5546875" customWidth="1"/>
    <col min="4" max="4" width="10.109375" customWidth="1"/>
    <col min="5" max="5" width="14.6640625" customWidth="1"/>
    <col min="6" max="6" width="14" style="43" customWidth="1"/>
    <col min="7" max="7" width="15.109375" customWidth="1"/>
    <col min="8" max="8" width="16.44140625" customWidth="1"/>
    <col min="10" max="10" width="10.109375" bestFit="1" customWidth="1"/>
  </cols>
  <sheetData>
    <row r="1" spans="1:22" ht="22.5" customHeight="1" x14ac:dyDescent="0.35">
      <c r="A1" s="41" t="s">
        <v>538</v>
      </c>
      <c r="B1" s="41"/>
      <c r="C1" s="41"/>
      <c r="D1" s="30"/>
      <c r="E1" s="30"/>
      <c r="F1" s="41"/>
      <c r="G1" s="30"/>
    </row>
    <row r="2" spans="1:22" ht="18.600000000000001" customHeight="1" x14ac:dyDescent="0.35">
      <c r="A2" s="41" t="s">
        <v>998</v>
      </c>
      <c r="B2" s="41"/>
      <c r="C2" s="41"/>
      <c r="D2" s="30"/>
      <c r="E2" s="30"/>
      <c r="F2" s="41"/>
      <c r="G2" s="30"/>
    </row>
    <row r="3" spans="1:22" x14ac:dyDescent="0.35">
      <c r="A3" s="80">
        <f ca="1">NOW()</f>
        <v>46273.708471180558</v>
      </c>
      <c r="B3" s="80"/>
      <c r="C3" s="30"/>
      <c r="D3" s="30"/>
      <c r="E3" s="30"/>
      <c r="F3" s="41"/>
      <c r="G3" s="30"/>
    </row>
    <row r="4" spans="1:22" ht="26.4" customHeight="1" x14ac:dyDescent="0.3">
      <c r="A4" s="81" t="s">
        <v>539</v>
      </c>
      <c r="B4" s="81"/>
      <c r="C4" s="81"/>
      <c r="D4" s="81"/>
      <c r="E4" s="81"/>
      <c r="F4" s="81"/>
      <c r="G4" s="81"/>
    </row>
    <row r="5" spans="1:22" ht="20.25" customHeight="1" x14ac:dyDescent="0.3">
      <c r="A5" s="82" t="s">
        <v>1288</v>
      </c>
      <c r="B5" s="82"/>
      <c r="C5" s="82"/>
      <c r="D5" s="82"/>
      <c r="E5" s="82"/>
      <c r="F5" s="82"/>
      <c r="G5" s="82"/>
    </row>
    <row r="6" spans="1:22" ht="21.6" customHeight="1" x14ac:dyDescent="0.35">
      <c r="A6" s="41" t="s">
        <v>573</v>
      </c>
      <c r="B6" s="41"/>
      <c r="C6" s="83" t="s">
        <v>1287</v>
      </c>
      <c r="D6" s="83"/>
      <c r="E6" s="83"/>
      <c r="F6" s="41"/>
      <c r="G6" s="30"/>
    </row>
    <row r="7" spans="1:22" ht="21.6" customHeight="1" x14ac:dyDescent="0.35">
      <c r="A7" s="84" t="s">
        <v>540</v>
      </c>
      <c r="B7" s="84"/>
      <c r="C7" s="84"/>
      <c r="D7" s="30"/>
      <c r="E7" s="30"/>
      <c r="F7" s="41" t="s">
        <v>244</v>
      </c>
      <c r="G7" s="30"/>
    </row>
    <row r="8" spans="1:22" ht="21.6" customHeight="1" x14ac:dyDescent="0.35">
      <c r="A8" s="41" t="s">
        <v>570</v>
      </c>
      <c r="B8" s="41"/>
      <c r="C8" s="41"/>
      <c r="D8" s="30"/>
      <c r="E8" s="30"/>
      <c r="F8" s="30"/>
      <c r="G8" s="30"/>
    </row>
    <row r="9" spans="1:22" x14ac:dyDescent="0.35">
      <c r="A9" s="30"/>
      <c r="B9" s="30"/>
      <c r="C9" s="30"/>
      <c r="D9" s="30"/>
      <c r="E9" s="30" t="s">
        <v>563</v>
      </c>
      <c r="F9" s="41"/>
      <c r="G9" s="30"/>
    </row>
    <row r="10" spans="1:22" s="44" customFormat="1" ht="44.25" customHeight="1" x14ac:dyDescent="0.3">
      <c r="A10" s="52" t="s">
        <v>541</v>
      </c>
      <c r="B10" s="52" t="s">
        <v>549</v>
      </c>
      <c r="C10" s="52" t="s">
        <v>568</v>
      </c>
      <c r="D10" s="52" t="s">
        <v>542</v>
      </c>
      <c r="E10" s="52" t="s">
        <v>5</v>
      </c>
      <c r="F10" s="52" t="s">
        <v>543</v>
      </c>
      <c r="G10" s="52" t="s">
        <v>6</v>
      </c>
      <c r="H10" s="44" t="s">
        <v>244</v>
      </c>
      <c r="I10"/>
      <c r="J10"/>
      <c r="K10"/>
      <c r="L10"/>
      <c r="M10"/>
      <c r="N10"/>
      <c r="O10"/>
    </row>
    <row r="11" spans="1:22" s="44" customFormat="1" ht="24" customHeight="1" x14ac:dyDescent="0.3">
      <c r="A11" s="75">
        <v>1</v>
      </c>
      <c r="B11" s="50" t="s">
        <v>1251</v>
      </c>
      <c r="C11" s="45" t="str">
        <f>IFERROR(VLOOKUP(B11,khoson,2,0),"")</f>
        <v>PU vàng chanh</v>
      </c>
      <c r="D11" s="45" t="str">
        <f>IFERROR(VLOOKUP(B11,khoson,3,0),"")</f>
        <v>Kg</v>
      </c>
      <c r="E11" s="51">
        <v>5</v>
      </c>
      <c r="F11" s="46">
        <v>160000</v>
      </c>
      <c r="G11" s="47">
        <f>F11*E11</f>
        <v>800000</v>
      </c>
      <c r="I11"/>
      <c r="J11" s="1"/>
      <c r="K11"/>
      <c r="L11" s="1"/>
      <c r="M11" s="1"/>
      <c r="N11" s="1"/>
      <c r="O11" s="1"/>
      <c r="P11" s="1"/>
    </row>
    <row r="12" spans="1:22" ht="21" customHeight="1" x14ac:dyDescent="0.35">
      <c r="A12" s="76" t="s">
        <v>574</v>
      </c>
      <c r="B12" s="77"/>
      <c r="C12" s="77"/>
      <c r="D12" s="77"/>
      <c r="E12" s="77"/>
      <c r="F12" s="78"/>
      <c r="G12" s="49">
        <f>SUM(G11:G11)</f>
        <v>800000</v>
      </c>
      <c r="H12" s="44"/>
      <c r="J12" s="68"/>
      <c r="K12" s="22"/>
      <c r="L12" s="1"/>
      <c r="M12" s="1"/>
      <c r="N12" s="1"/>
      <c r="O12" s="2"/>
      <c r="P12" s="1"/>
      <c r="Q12" s="44"/>
      <c r="R12" s="44"/>
      <c r="S12" s="44"/>
      <c r="T12" s="44"/>
      <c r="U12" s="44"/>
      <c r="V12" s="44"/>
    </row>
    <row r="13" spans="1:22" ht="21" customHeight="1" x14ac:dyDescent="0.35">
      <c r="A13" s="76" t="s">
        <v>544</v>
      </c>
      <c r="B13" s="77"/>
      <c r="C13" s="77"/>
      <c r="D13" s="77"/>
      <c r="E13" s="77"/>
      <c r="F13" s="78"/>
      <c r="G13" s="74">
        <f>G12</f>
        <v>800000</v>
      </c>
      <c r="H13" s="44"/>
      <c r="J13" s="68"/>
      <c r="K13" s="22"/>
      <c r="L13" s="1"/>
      <c r="M13" s="1"/>
      <c r="N13" s="1"/>
      <c r="O13" s="2"/>
      <c r="P13" s="1"/>
      <c r="Q13" s="44"/>
      <c r="R13" s="44"/>
      <c r="S13" s="44"/>
      <c r="T13" s="44"/>
      <c r="U13" s="44"/>
      <c r="V13" s="44"/>
    </row>
    <row r="14" spans="1:22" ht="24.75" customHeight="1" x14ac:dyDescent="0.35">
      <c r="A14" s="42" t="s">
        <v>545</v>
      </c>
      <c r="B14" s="38"/>
      <c r="C14" s="30"/>
      <c r="D14" s="30"/>
      <c r="E14" s="30"/>
      <c r="F14" s="41"/>
      <c r="G14" s="30" t="s">
        <v>563</v>
      </c>
      <c r="H14" s="44"/>
      <c r="P14" s="44"/>
      <c r="Q14" s="44"/>
      <c r="R14" s="44"/>
      <c r="S14" s="44"/>
      <c r="T14" s="44"/>
      <c r="U14" s="44"/>
      <c r="V14" s="44"/>
    </row>
    <row r="15" spans="1:22" ht="27" customHeight="1" x14ac:dyDescent="0.35">
      <c r="A15" s="30"/>
      <c r="B15" s="30"/>
      <c r="C15" s="30"/>
      <c r="D15" s="30"/>
      <c r="E15" s="66" t="s">
        <v>1273</v>
      </c>
      <c r="F15" s="66"/>
      <c r="G15" s="66"/>
      <c r="H15" s="44"/>
      <c r="P15" s="44"/>
      <c r="Q15" s="44"/>
      <c r="R15" s="44"/>
      <c r="S15" s="44"/>
      <c r="T15" s="44"/>
      <c r="U15" s="44"/>
      <c r="V15" s="44"/>
    </row>
    <row r="16" spans="1:22" ht="22.2" customHeight="1" x14ac:dyDescent="0.35">
      <c r="A16" s="79" t="s">
        <v>349</v>
      </c>
      <c r="B16" s="79"/>
      <c r="C16" s="53" t="s">
        <v>547</v>
      </c>
      <c r="D16" s="79" t="s">
        <v>548</v>
      </c>
      <c r="E16" s="79"/>
      <c r="F16" s="79" t="s">
        <v>199</v>
      </c>
      <c r="G16" s="79"/>
      <c r="H16" s="44"/>
      <c r="P16" s="44"/>
      <c r="Q16" s="44"/>
      <c r="R16" s="44"/>
      <c r="S16" s="44"/>
      <c r="T16" s="44"/>
      <c r="U16" s="44"/>
      <c r="V16" s="44"/>
    </row>
    <row r="17" spans="1:22" ht="22.2" customHeight="1" x14ac:dyDescent="0.35">
      <c r="A17" s="79" t="s">
        <v>546</v>
      </c>
      <c r="B17" s="79"/>
      <c r="C17" s="53" t="s">
        <v>546</v>
      </c>
      <c r="D17" s="79" t="s">
        <v>546</v>
      </c>
      <c r="E17" s="79"/>
      <c r="F17" s="79" t="s">
        <v>546</v>
      </c>
      <c r="G17" s="79"/>
      <c r="H17" s="44"/>
      <c r="P17" s="44"/>
      <c r="Q17" s="44"/>
      <c r="R17" s="44"/>
      <c r="S17" s="44"/>
      <c r="T17" s="44"/>
      <c r="U17" s="44"/>
      <c r="V17" s="44"/>
    </row>
    <row r="18" spans="1:22" ht="30" customHeight="1" x14ac:dyDescent="0.35">
      <c r="A18" s="30"/>
      <c r="B18" s="30"/>
      <c r="C18" s="30"/>
      <c r="D18" s="30"/>
      <c r="E18" s="30"/>
      <c r="F18" s="41"/>
      <c r="G18" s="30"/>
      <c r="H18" s="44"/>
    </row>
    <row r="19" spans="1:22" x14ac:dyDescent="0.35">
      <c r="A19" s="30"/>
      <c r="B19" s="30"/>
      <c r="C19" s="30"/>
      <c r="D19" s="30"/>
      <c r="E19" s="30"/>
      <c r="F19" s="41"/>
      <c r="G19" s="30"/>
      <c r="H19" s="44"/>
    </row>
    <row r="20" spans="1:22" x14ac:dyDescent="0.35">
      <c r="A20" s="30"/>
      <c r="B20" s="30"/>
      <c r="C20" s="30"/>
      <c r="D20" s="30"/>
      <c r="E20" s="30"/>
      <c r="F20" s="41"/>
      <c r="G20" s="30"/>
      <c r="H20" s="44"/>
    </row>
    <row r="21" spans="1:22" x14ac:dyDescent="0.35">
      <c r="A21" s="30"/>
      <c r="B21" s="30"/>
      <c r="C21" s="30"/>
      <c r="D21" s="30"/>
      <c r="G21" s="30"/>
      <c r="H21" s="44"/>
    </row>
    <row r="22" spans="1:22" x14ac:dyDescent="0.35">
      <c r="A22" s="30"/>
      <c r="B22" s="30"/>
      <c r="C22" s="30"/>
      <c r="D22" s="30"/>
      <c r="G22" s="30"/>
    </row>
    <row r="23" spans="1:22" x14ac:dyDescent="0.35">
      <c r="A23" s="30"/>
      <c r="B23" s="30"/>
      <c r="C23" s="30"/>
      <c r="D23" s="30"/>
      <c r="E23" s="30"/>
      <c r="F23" s="41"/>
      <c r="G23" s="30"/>
    </row>
    <row r="24" spans="1:22" x14ac:dyDescent="0.35">
      <c r="A24" s="30"/>
      <c r="B24" s="30"/>
      <c r="C24" s="30"/>
      <c r="D24" s="30"/>
      <c r="E24" s="30"/>
      <c r="F24" s="41"/>
      <c r="G24" s="30"/>
    </row>
    <row r="25" spans="1:22" x14ac:dyDescent="0.35">
      <c r="A25" s="30"/>
      <c r="B25" s="30"/>
      <c r="C25" s="30"/>
      <c r="D25" s="30"/>
      <c r="E25" s="30"/>
      <c r="F25" s="41"/>
      <c r="G25" s="30"/>
    </row>
    <row r="26" spans="1:22" x14ac:dyDescent="0.35">
      <c r="A26" s="30"/>
      <c r="B26" s="30"/>
      <c r="C26" s="30"/>
      <c r="D26" s="30"/>
      <c r="E26" s="30"/>
      <c r="F26" s="41"/>
      <c r="G26" s="30"/>
    </row>
    <row r="27" spans="1:22" x14ac:dyDescent="0.35">
      <c r="A27" s="30"/>
      <c r="B27" s="30"/>
      <c r="C27" s="30"/>
      <c r="D27" s="30"/>
      <c r="E27" s="30"/>
      <c r="F27" s="41"/>
      <c r="G27" s="30"/>
    </row>
    <row r="28" spans="1:22" x14ac:dyDescent="0.35">
      <c r="A28" s="1"/>
      <c r="B28" s="1"/>
      <c r="C28" s="1"/>
      <c r="D28" s="1"/>
      <c r="E28" s="1"/>
      <c r="F28" s="41"/>
      <c r="G28" s="1"/>
    </row>
    <row r="29" spans="1:22" x14ac:dyDescent="0.35">
      <c r="A29" s="1"/>
      <c r="B29" s="1"/>
      <c r="C29" s="1"/>
      <c r="D29" s="1"/>
      <c r="E29" s="1"/>
      <c r="F29" s="41"/>
      <c r="G29" s="1"/>
    </row>
    <row r="30" spans="1:22" x14ac:dyDescent="0.35">
      <c r="A30" s="1"/>
      <c r="B30" s="1"/>
      <c r="C30" s="1"/>
      <c r="D30" s="1"/>
      <c r="E30" s="1"/>
      <c r="F30" s="41"/>
      <c r="G30" s="1"/>
    </row>
    <row r="31" spans="1:22" x14ac:dyDescent="0.35">
      <c r="A31" s="1"/>
      <c r="B31" s="1"/>
      <c r="C31" s="1"/>
      <c r="D31" s="1"/>
      <c r="E31" s="1"/>
      <c r="F31" s="41"/>
      <c r="G31" s="1"/>
    </row>
    <row r="32" spans="1:22" x14ac:dyDescent="0.35">
      <c r="A32" s="1"/>
      <c r="B32" s="1"/>
      <c r="C32" s="1"/>
      <c r="D32" s="1"/>
      <c r="E32" s="1"/>
      <c r="F32" s="41"/>
      <c r="G32" s="1"/>
    </row>
    <row r="33" spans="1:7" x14ac:dyDescent="0.35">
      <c r="A33" s="1"/>
      <c r="B33" s="1"/>
      <c r="C33" s="1"/>
      <c r="D33" s="1"/>
      <c r="E33" s="1"/>
      <c r="F33" s="41"/>
      <c r="G33" s="1"/>
    </row>
    <row r="34" spans="1:7" x14ac:dyDescent="0.35">
      <c r="A34" s="1"/>
      <c r="B34" s="1"/>
      <c r="C34" s="1"/>
      <c r="D34" s="1"/>
      <c r="E34" s="1"/>
      <c r="F34" s="41"/>
      <c r="G34" s="1"/>
    </row>
  </sheetData>
  <mergeCells count="13">
    <mergeCell ref="A12:F12"/>
    <mergeCell ref="A3:B3"/>
    <mergeCell ref="A4:G4"/>
    <mergeCell ref="A5:G5"/>
    <mergeCell ref="C6:E6"/>
    <mergeCell ref="A7:C7"/>
    <mergeCell ref="A13:F13"/>
    <mergeCell ref="A16:B16"/>
    <mergeCell ref="D16:E16"/>
    <mergeCell ref="F16:G16"/>
    <mergeCell ref="A17:B17"/>
    <mergeCell ref="D17:E17"/>
    <mergeCell ref="F17:G17"/>
  </mergeCells>
  <pageMargins left="0.4" right="0.23" top="0.31" bottom="0.16" header="0.3" footer="0.3"/>
  <pageSetup paperSize="9" scale="84" fitToHeight="0" orientation="portrait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71"/>
  <sheetViews>
    <sheetView topLeftCell="A50" workbookViewId="0">
      <selection activeCell="K72" sqref="K72"/>
    </sheetView>
  </sheetViews>
  <sheetFormatPr defaultColWidth="9.109375" defaultRowHeight="13.8" x14ac:dyDescent="0.25"/>
  <cols>
    <col min="1" max="2" width="9.109375" style="1"/>
    <col min="3" max="3" width="16.5546875" style="1" customWidth="1"/>
    <col min="4" max="4" width="19.44140625" style="1" customWidth="1"/>
    <col min="5" max="5" width="12.5546875" style="4" bestFit="1" customWidth="1"/>
    <col min="6" max="6" width="25.33203125" style="4" customWidth="1"/>
    <col min="7" max="7" width="31.6640625" style="1" customWidth="1"/>
    <col min="8" max="16384" width="9.109375" style="1"/>
  </cols>
  <sheetData>
    <row r="1" spans="1:7" x14ac:dyDescent="0.25">
      <c r="A1" s="1" t="s">
        <v>9</v>
      </c>
      <c r="E1" s="1"/>
      <c r="F1" s="1"/>
    </row>
    <row r="2" spans="1:7" x14ac:dyDescent="0.25">
      <c r="A2" s="1" t="s">
        <v>10</v>
      </c>
      <c r="E2" s="1"/>
      <c r="F2" s="1"/>
    </row>
    <row r="3" spans="1:7" x14ac:dyDescent="0.25">
      <c r="E3" s="1"/>
      <c r="F3" s="1"/>
    </row>
    <row r="4" spans="1:7" s="10" customFormat="1" ht="36.75" customHeight="1" x14ac:dyDescent="0.3">
      <c r="A4" s="9" t="s">
        <v>11</v>
      </c>
      <c r="B4" s="9" t="s">
        <v>56</v>
      </c>
      <c r="C4" s="9" t="s">
        <v>8</v>
      </c>
      <c r="D4" s="9" t="s">
        <v>12</v>
      </c>
      <c r="E4" s="9" t="s">
        <v>13</v>
      </c>
      <c r="F4" s="9" t="s">
        <v>503</v>
      </c>
      <c r="G4" s="9" t="s">
        <v>7</v>
      </c>
    </row>
    <row r="5" spans="1:7" x14ac:dyDescent="0.25">
      <c r="A5" s="14">
        <v>1</v>
      </c>
      <c r="B5" s="7" t="s">
        <v>57</v>
      </c>
      <c r="C5" s="7" t="s">
        <v>14</v>
      </c>
      <c r="D5" s="7" t="s">
        <v>15</v>
      </c>
      <c r="E5" s="6" t="s">
        <v>74</v>
      </c>
      <c r="F5" s="6"/>
      <c r="G5" s="7"/>
    </row>
    <row r="6" spans="1:7" x14ac:dyDescent="0.25">
      <c r="A6" s="14">
        <f>IF(C6&lt;&gt;"",A5+1,"")</f>
        <v>2</v>
      </c>
      <c r="B6" s="7" t="s">
        <v>57</v>
      </c>
      <c r="C6" s="7" t="s">
        <v>16</v>
      </c>
      <c r="D6" s="7" t="s">
        <v>17</v>
      </c>
      <c r="E6" s="6" t="s">
        <v>75</v>
      </c>
      <c r="F6" s="6"/>
      <c r="G6" s="7"/>
    </row>
    <row r="7" spans="1:7" x14ac:dyDescent="0.25">
      <c r="A7" s="14">
        <f t="shared" ref="A7:A51" si="0">IF(C7&lt;&gt;"",A6+1,"")</f>
        <v>3</v>
      </c>
      <c r="B7" s="7" t="s">
        <v>57</v>
      </c>
      <c r="C7" s="7" t="s">
        <v>18</v>
      </c>
      <c r="D7" s="7" t="s">
        <v>19</v>
      </c>
      <c r="E7" s="6" t="s">
        <v>76</v>
      </c>
      <c r="F7" s="6"/>
      <c r="G7" s="7"/>
    </row>
    <row r="8" spans="1:7" x14ac:dyDescent="0.25">
      <c r="A8" s="14">
        <f t="shared" si="0"/>
        <v>4</v>
      </c>
      <c r="B8" s="7" t="s">
        <v>57</v>
      </c>
      <c r="C8" s="7" t="s">
        <v>20</v>
      </c>
      <c r="D8" s="7" t="s">
        <v>21</v>
      </c>
      <c r="E8" s="6" t="s">
        <v>77</v>
      </c>
      <c r="F8" s="6"/>
      <c r="G8" s="7"/>
    </row>
    <row r="9" spans="1:7" x14ac:dyDescent="0.25">
      <c r="A9" s="14">
        <f t="shared" si="0"/>
        <v>5</v>
      </c>
      <c r="B9" s="7" t="s">
        <v>57</v>
      </c>
      <c r="C9" s="7" t="s">
        <v>22</v>
      </c>
      <c r="D9" s="7" t="s">
        <v>23</v>
      </c>
      <c r="E9" s="6" t="s">
        <v>78</v>
      </c>
      <c r="F9" s="6"/>
      <c r="G9" s="7"/>
    </row>
    <row r="10" spans="1:7" x14ac:dyDescent="0.25">
      <c r="A10" s="14">
        <f t="shared" si="0"/>
        <v>6</v>
      </c>
      <c r="B10" s="7" t="s">
        <v>57</v>
      </c>
      <c r="C10" s="7" t="s">
        <v>24</v>
      </c>
      <c r="D10" s="7" t="s">
        <v>25</v>
      </c>
      <c r="E10" s="6" t="s">
        <v>79</v>
      </c>
      <c r="F10" s="6"/>
      <c r="G10" s="7"/>
    </row>
    <row r="11" spans="1:7" x14ac:dyDescent="0.25">
      <c r="A11" s="14">
        <f t="shared" si="0"/>
        <v>7</v>
      </c>
      <c r="B11" s="7" t="s">
        <v>57</v>
      </c>
      <c r="C11" s="7" t="s">
        <v>26</v>
      </c>
      <c r="D11" s="7" t="s">
        <v>27</v>
      </c>
      <c r="E11" s="6" t="s">
        <v>80</v>
      </c>
      <c r="F11" s="6"/>
      <c r="G11" s="7"/>
    </row>
    <row r="12" spans="1:7" x14ac:dyDescent="0.25">
      <c r="A12" s="14">
        <f t="shared" si="0"/>
        <v>8</v>
      </c>
      <c r="B12" s="7" t="s">
        <v>57</v>
      </c>
      <c r="C12" s="7" t="s">
        <v>28</v>
      </c>
      <c r="D12" s="7" t="s">
        <v>36</v>
      </c>
      <c r="E12" s="6" t="s">
        <v>81</v>
      </c>
      <c r="F12" s="6"/>
      <c r="G12" s="7"/>
    </row>
    <row r="13" spans="1:7" x14ac:dyDescent="0.25">
      <c r="A13" s="14">
        <f t="shared" si="0"/>
        <v>9</v>
      </c>
      <c r="B13" s="7" t="s">
        <v>57</v>
      </c>
      <c r="C13" s="7" t="s">
        <v>29</v>
      </c>
      <c r="D13" s="7" t="s">
        <v>30</v>
      </c>
      <c r="E13" s="6" t="s">
        <v>75</v>
      </c>
      <c r="F13" s="6"/>
      <c r="G13" s="7"/>
    </row>
    <row r="14" spans="1:7" x14ac:dyDescent="0.25">
      <c r="A14" s="14">
        <f t="shared" si="0"/>
        <v>10</v>
      </c>
      <c r="B14" s="7" t="s">
        <v>57</v>
      </c>
      <c r="C14" s="7" t="s">
        <v>32</v>
      </c>
      <c r="D14" s="7" t="s">
        <v>31</v>
      </c>
      <c r="E14" s="6" t="s">
        <v>82</v>
      </c>
      <c r="F14" s="6"/>
      <c r="G14" s="7"/>
    </row>
    <row r="15" spans="1:7" x14ac:dyDescent="0.25">
      <c r="A15" s="14">
        <f t="shared" si="0"/>
        <v>11</v>
      </c>
      <c r="B15" s="7" t="s">
        <v>57</v>
      </c>
      <c r="C15" s="7" t="s">
        <v>33</v>
      </c>
      <c r="D15" s="7" t="s">
        <v>34</v>
      </c>
      <c r="E15" s="6" t="s">
        <v>83</v>
      </c>
      <c r="F15" s="6"/>
      <c r="G15" s="7"/>
    </row>
    <row r="16" spans="1:7" x14ac:dyDescent="0.25">
      <c r="A16" s="14">
        <f t="shared" si="0"/>
        <v>12</v>
      </c>
      <c r="B16" s="7" t="s">
        <v>57</v>
      </c>
      <c r="C16" s="7" t="s">
        <v>35</v>
      </c>
      <c r="D16" s="7" t="s">
        <v>37</v>
      </c>
      <c r="E16" s="6" t="s">
        <v>84</v>
      </c>
      <c r="F16" s="6"/>
      <c r="G16" s="7"/>
    </row>
    <row r="17" spans="1:10" x14ac:dyDescent="0.25">
      <c r="A17" s="14">
        <f t="shared" si="0"/>
        <v>13</v>
      </c>
      <c r="B17" s="7" t="s">
        <v>57</v>
      </c>
      <c r="C17" s="7" t="s">
        <v>38</v>
      </c>
      <c r="D17" s="7" t="s">
        <v>39</v>
      </c>
      <c r="E17" s="6" t="s">
        <v>85</v>
      </c>
      <c r="F17" s="6"/>
      <c r="G17" s="7"/>
    </row>
    <row r="18" spans="1:10" x14ac:dyDescent="0.25">
      <c r="A18" s="14">
        <f t="shared" si="0"/>
        <v>14</v>
      </c>
      <c r="B18" s="7" t="s">
        <v>57</v>
      </c>
      <c r="C18" s="7" t="s">
        <v>40</v>
      </c>
      <c r="D18" s="7" t="s">
        <v>41</v>
      </c>
      <c r="E18" s="6" t="s">
        <v>86</v>
      </c>
      <c r="F18" s="6"/>
      <c r="G18" s="7"/>
    </row>
    <row r="19" spans="1:10" x14ac:dyDescent="0.25">
      <c r="A19" s="14">
        <f t="shared" si="0"/>
        <v>15</v>
      </c>
      <c r="B19" s="7" t="s">
        <v>57</v>
      </c>
      <c r="C19" s="7" t="s">
        <v>42</v>
      </c>
      <c r="D19" s="7" t="s">
        <v>43</v>
      </c>
      <c r="E19" s="6" t="s">
        <v>87</v>
      </c>
      <c r="F19" s="6"/>
      <c r="G19" s="7"/>
    </row>
    <row r="20" spans="1:10" x14ac:dyDescent="0.25">
      <c r="A20" s="14">
        <f t="shared" si="0"/>
        <v>16</v>
      </c>
      <c r="B20" s="7" t="s">
        <v>57</v>
      </c>
      <c r="C20" s="7" t="s">
        <v>44</v>
      </c>
      <c r="D20" s="7" t="s">
        <v>45</v>
      </c>
      <c r="E20" s="6" t="s">
        <v>88</v>
      </c>
      <c r="F20" s="6"/>
      <c r="G20" s="7"/>
    </row>
    <row r="21" spans="1:10" x14ac:dyDescent="0.25">
      <c r="A21" s="14"/>
      <c r="B21" s="7" t="s">
        <v>57</v>
      </c>
      <c r="C21" s="7" t="s">
        <v>469</v>
      </c>
      <c r="D21" s="7" t="s">
        <v>470</v>
      </c>
      <c r="E21" s="6" t="s">
        <v>507</v>
      </c>
      <c r="F21" s="6"/>
      <c r="G21" s="7"/>
    </row>
    <row r="22" spans="1:10" x14ac:dyDescent="0.25">
      <c r="A22" s="14">
        <f>IF(C22&lt;&gt;"",A20+1,"")</f>
        <v>17</v>
      </c>
      <c r="B22" s="7" t="s">
        <v>57</v>
      </c>
      <c r="C22" s="7" t="s">
        <v>46</v>
      </c>
      <c r="D22" s="7" t="s">
        <v>47</v>
      </c>
      <c r="E22" s="6" t="s">
        <v>89</v>
      </c>
      <c r="F22" s="6"/>
      <c r="G22" s="7"/>
    </row>
    <row r="23" spans="1:10" x14ac:dyDescent="0.25">
      <c r="A23" s="14">
        <f t="shared" si="0"/>
        <v>18</v>
      </c>
      <c r="B23" s="7" t="s">
        <v>57</v>
      </c>
      <c r="C23" s="7" t="s">
        <v>48</v>
      </c>
      <c r="D23" s="7" t="s">
        <v>49</v>
      </c>
      <c r="E23" s="6" t="s">
        <v>75</v>
      </c>
      <c r="F23" s="6"/>
      <c r="G23" s="7"/>
    </row>
    <row r="24" spans="1:10" x14ac:dyDescent="0.25">
      <c r="A24" s="14">
        <f t="shared" si="0"/>
        <v>19</v>
      </c>
      <c r="B24" s="7" t="s">
        <v>57</v>
      </c>
      <c r="C24" s="7" t="s">
        <v>50</v>
      </c>
      <c r="D24" s="7" t="s">
        <v>51</v>
      </c>
      <c r="E24" s="6" t="s">
        <v>528</v>
      </c>
      <c r="F24" s="6"/>
      <c r="G24" s="7"/>
    </row>
    <row r="25" spans="1:10" x14ac:dyDescent="0.25">
      <c r="A25" s="14">
        <f t="shared" si="0"/>
        <v>20</v>
      </c>
      <c r="B25" s="7" t="s">
        <v>57</v>
      </c>
      <c r="C25" s="7" t="s">
        <v>52</v>
      </c>
      <c r="D25" s="7" t="s">
        <v>53</v>
      </c>
      <c r="E25" s="6" t="s">
        <v>75</v>
      </c>
      <c r="F25" s="6"/>
      <c r="G25" s="7"/>
    </row>
    <row r="26" spans="1:10" x14ac:dyDescent="0.25">
      <c r="A26" s="14">
        <f t="shared" si="0"/>
        <v>21</v>
      </c>
      <c r="B26" s="7" t="s">
        <v>57</v>
      </c>
      <c r="C26" s="7" t="s">
        <v>72</v>
      </c>
      <c r="D26" s="7" t="s">
        <v>73</v>
      </c>
      <c r="E26" s="6" t="s">
        <v>90</v>
      </c>
      <c r="F26" s="6"/>
      <c r="G26" s="7"/>
    </row>
    <row r="27" spans="1:10" x14ac:dyDescent="0.25">
      <c r="A27" s="14">
        <f t="shared" si="0"/>
        <v>22</v>
      </c>
      <c r="B27" s="7" t="s">
        <v>57</v>
      </c>
      <c r="C27" s="7" t="s">
        <v>54</v>
      </c>
      <c r="D27" s="7" t="s">
        <v>55</v>
      </c>
      <c r="E27" s="6" t="s">
        <v>75</v>
      </c>
      <c r="F27" s="6"/>
      <c r="G27" s="7"/>
    </row>
    <row r="28" spans="1:10" x14ac:dyDescent="0.25">
      <c r="A28" s="13">
        <f>IF(C28&lt;&gt;"",A27+1,"")</f>
        <v>23</v>
      </c>
      <c r="B28" s="7" t="s">
        <v>58</v>
      </c>
      <c r="C28" s="7" t="s">
        <v>59</v>
      </c>
      <c r="D28" s="7" t="s">
        <v>60</v>
      </c>
      <c r="E28" s="6" t="s">
        <v>75</v>
      </c>
      <c r="F28" s="6"/>
      <c r="G28" s="7"/>
    </row>
    <row r="29" spans="1:10" x14ac:dyDescent="0.25">
      <c r="A29" s="13">
        <f t="shared" si="0"/>
        <v>24</v>
      </c>
      <c r="B29" s="7" t="s">
        <v>58</v>
      </c>
      <c r="C29" s="7" t="s">
        <v>61</v>
      </c>
      <c r="D29" s="7" t="s">
        <v>62</v>
      </c>
      <c r="E29" s="6" t="s">
        <v>75</v>
      </c>
      <c r="F29" s="6"/>
      <c r="G29" s="7"/>
    </row>
    <row r="30" spans="1:10" x14ac:dyDescent="0.25">
      <c r="A30" s="13">
        <f t="shared" si="0"/>
        <v>25</v>
      </c>
      <c r="B30" s="7" t="s">
        <v>58</v>
      </c>
      <c r="C30" s="7" t="s">
        <v>63</v>
      </c>
      <c r="D30" s="7" t="s">
        <v>64</v>
      </c>
      <c r="E30" s="6" t="s">
        <v>75</v>
      </c>
      <c r="F30" s="6"/>
      <c r="G30" s="7"/>
    </row>
    <row r="31" spans="1:10" x14ac:dyDescent="0.25">
      <c r="A31" s="13">
        <f t="shared" si="0"/>
        <v>26</v>
      </c>
      <c r="B31" s="7" t="s">
        <v>58</v>
      </c>
      <c r="C31" s="7" t="s">
        <v>65</v>
      </c>
      <c r="D31" s="7" t="s">
        <v>66</v>
      </c>
      <c r="E31" s="6" t="s">
        <v>506</v>
      </c>
      <c r="F31" s="6"/>
      <c r="G31" s="7"/>
      <c r="J31" s="1">
        <f>160*4</f>
        <v>640</v>
      </c>
    </row>
    <row r="32" spans="1:10" x14ac:dyDescent="0.25">
      <c r="A32" s="13">
        <f t="shared" si="0"/>
        <v>27</v>
      </c>
      <c r="B32" s="7" t="s">
        <v>58</v>
      </c>
      <c r="C32" s="7" t="s">
        <v>67</v>
      </c>
      <c r="D32" s="7" t="s">
        <v>68</v>
      </c>
      <c r="E32" s="6" t="s">
        <v>75</v>
      </c>
      <c r="F32" s="6"/>
      <c r="G32" s="7"/>
    </row>
    <row r="33" spans="1:7" x14ac:dyDescent="0.25">
      <c r="A33" s="13">
        <f t="shared" si="0"/>
        <v>28</v>
      </c>
      <c r="B33" s="7" t="s">
        <v>58</v>
      </c>
      <c r="C33" s="7" t="s">
        <v>198</v>
      </c>
      <c r="D33" s="7" t="s">
        <v>69</v>
      </c>
      <c r="E33" s="6" t="s">
        <v>75</v>
      </c>
      <c r="F33" s="6"/>
      <c r="G33" s="7"/>
    </row>
    <row r="34" spans="1:7" x14ac:dyDescent="0.25">
      <c r="A34" s="13">
        <f t="shared" si="0"/>
        <v>29</v>
      </c>
      <c r="B34" s="7" t="s">
        <v>58</v>
      </c>
      <c r="C34" s="7" t="s">
        <v>70</v>
      </c>
      <c r="D34" s="7" t="s">
        <v>71</v>
      </c>
      <c r="E34" s="6" t="s">
        <v>75</v>
      </c>
      <c r="F34" s="6"/>
      <c r="G34" s="7"/>
    </row>
    <row r="35" spans="1:7" x14ac:dyDescent="0.25">
      <c r="A35" s="13">
        <f t="shared" si="0"/>
        <v>30</v>
      </c>
      <c r="B35" s="7" t="s">
        <v>58</v>
      </c>
      <c r="C35" s="7" t="s">
        <v>179</v>
      </c>
      <c r="D35" s="7" t="s">
        <v>180</v>
      </c>
      <c r="E35" s="6" t="s">
        <v>75</v>
      </c>
      <c r="F35" s="6"/>
      <c r="G35" s="7"/>
    </row>
    <row r="36" spans="1:7" x14ac:dyDescent="0.25">
      <c r="A36" s="13">
        <f t="shared" si="0"/>
        <v>31</v>
      </c>
      <c r="B36" s="7" t="s">
        <v>226</v>
      </c>
      <c r="C36" s="7" t="s">
        <v>227</v>
      </c>
      <c r="D36" s="7" t="s">
        <v>228</v>
      </c>
      <c r="E36" s="6" t="s">
        <v>229</v>
      </c>
      <c r="F36" s="6"/>
      <c r="G36" s="7"/>
    </row>
    <row r="37" spans="1:7" x14ac:dyDescent="0.25">
      <c r="A37" s="13">
        <f t="shared" si="0"/>
        <v>32</v>
      </c>
      <c r="B37" s="7" t="s">
        <v>226</v>
      </c>
      <c r="C37" s="7" t="s">
        <v>230</v>
      </c>
      <c r="D37" s="7" t="s">
        <v>231</v>
      </c>
      <c r="E37" s="6" t="s">
        <v>75</v>
      </c>
      <c r="F37" s="6"/>
      <c r="G37" s="7"/>
    </row>
    <row r="38" spans="1:7" x14ac:dyDescent="0.25">
      <c r="A38" s="13">
        <f t="shared" si="0"/>
        <v>33</v>
      </c>
      <c r="B38" s="7" t="s">
        <v>226</v>
      </c>
      <c r="C38" s="7" t="s">
        <v>245</v>
      </c>
      <c r="D38" s="7" t="s">
        <v>246</v>
      </c>
      <c r="E38" s="6" t="s">
        <v>75</v>
      </c>
      <c r="F38" s="6"/>
      <c r="G38" s="7"/>
    </row>
    <row r="39" spans="1:7" x14ac:dyDescent="0.25">
      <c r="A39" s="13">
        <f t="shared" si="0"/>
        <v>34</v>
      </c>
      <c r="B39" s="7" t="s">
        <v>226</v>
      </c>
      <c r="C39" s="7" t="s">
        <v>247</v>
      </c>
      <c r="D39" s="7" t="s">
        <v>248</v>
      </c>
      <c r="E39" s="6" t="s">
        <v>75</v>
      </c>
      <c r="F39" s="6"/>
      <c r="G39" s="7"/>
    </row>
    <row r="40" spans="1:7" x14ac:dyDescent="0.25">
      <c r="A40" s="13">
        <f t="shared" si="0"/>
        <v>35</v>
      </c>
      <c r="B40" s="7" t="s">
        <v>226</v>
      </c>
      <c r="C40" s="7" t="s">
        <v>253</v>
      </c>
      <c r="D40" s="7" t="s">
        <v>252</v>
      </c>
      <c r="E40" s="6" t="s">
        <v>75</v>
      </c>
      <c r="F40" s="6"/>
      <c r="G40" s="7"/>
    </row>
    <row r="41" spans="1:7" x14ac:dyDescent="0.25">
      <c r="A41" s="13">
        <f t="shared" si="0"/>
        <v>36</v>
      </c>
      <c r="B41" s="7" t="s">
        <v>226</v>
      </c>
      <c r="C41" s="7" t="s">
        <v>256</v>
      </c>
      <c r="D41" s="7" t="s">
        <v>257</v>
      </c>
      <c r="E41" s="6" t="s">
        <v>75</v>
      </c>
      <c r="F41" s="6"/>
      <c r="G41" s="7"/>
    </row>
    <row r="42" spans="1:7" x14ac:dyDescent="0.25">
      <c r="A42" s="13">
        <f t="shared" si="0"/>
        <v>37</v>
      </c>
      <c r="B42" s="7" t="s">
        <v>271</v>
      </c>
      <c r="C42" s="7" t="s">
        <v>269</v>
      </c>
      <c r="D42" s="7" t="s">
        <v>270</v>
      </c>
      <c r="E42" s="6" t="s">
        <v>75</v>
      </c>
      <c r="F42" s="6"/>
      <c r="G42" s="7"/>
    </row>
    <row r="43" spans="1:7" x14ac:dyDescent="0.25">
      <c r="A43" s="13">
        <f t="shared" si="0"/>
        <v>38</v>
      </c>
      <c r="B43" s="7" t="s">
        <v>271</v>
      </c>
      <c r="C43" s="7" t="s">
        <v>276</v>
      </c>
      <c r="D43" s="7" t="s">
        <v>277</v>
      </c>
      <c r="E43" s="6" t="s">
        <v>75</v>
      </c>
      <c r="F43" s="6"/>
      <c r="G43" s="7"/>
    </row>
    <row r="44" spans="1:7" x14ac:dyDescent="0.25">
      <c r="A44" s="13">
        <f t="shared" si="0"/>
        <v>39</v>
      </c>
      <c r="B44" s="7" t="s">
        <v>271</v>
      </c>
      <c r="C44" s="7" t="s">
        <v>278</v>
      </c>
      <c r="D44" s="7" t="s">
        <v>279</v>
      </c>
      <c r="E44" s="6" t="s">
        <v>75</v>
      </c>
      <c r="F44" s="6"/>
      <c r="G44" s="7"/>
    </row>
    <row r="45" spans="1:7" x14ac:dyDescent="0.25">
      <c r="A45" s="13">
        <f t="shared" si="0"/>
        <v>40</v>
      </c>
      <c r="B45" s="7" t="s">
        <v>271</v>
      </c>
      <c r="C45" s="7" t="s">
        <v>305</v>
      </c>
      <c r="D45" s="7" t="s">
        <v>306</v>
      </c>
      <c r="E45" s="6" t="s">
        <v>75</v>
      </c>
      <c r="F45" s="6"/>
      <c r="G45" s="7"/>
    </row>
    <row r="46" spans="1:7" x14ac:dyDescent="0.25">
      <c r="A46" s="13">
        <f t="shared" si="0"/>
        <v>41</v>
      </c>
      <c r="B46" s="7" t="s">
        <v>271</v>
      </c>
      <c r="C46" s="7" t="s">
        <v>315</v>
      </c>
      <c r="D46" s="7" t="s">
        <v>316</v>
      </c>
      <c r="E46" s="6" t="s">
        <v>75</v>
      </c>
      <c r="F46" s="6"/>
      <c r="G46" s="7"/>
    </row>
    <row r="47" spans="1:7" x14ac:dyDescent="0.25">
      <c r="A47" s="13">
        <f t="shared" si="0"/>
        <v>42</v>
      </c>
      <c r="B47" s="7" t="s">
        <v>271</v>
      </c>
      <c r="C47" s="7" t="s">
        <v>319</v>
      </c>
      <c r="D47" s="7" t="s">
        <v>320</v>
      </c>
      <c r="E47" s="6" t="s">
        <v>75</v>
      </c>
      <c r="F47" s="6"/>
      <c r="G47" s="7"/>
    </row>
    <row r="48" spans="1:7" x14ac:dyDescent="0.25">
      <c r="A48" s="13"/>
      <c r="B48" s="7" t="s">
        <v>271</v>
      </c>
      <c r="C48" s="7" t="s">
        <v>508</v>
      </c>
      <c r="D48" s="7" t="s">
        <v>509</v>
      </c>
      <c r="E48" s="6"/>
      <c r="F48" s="6"/>
      <c r="G48" s="7"/>
    </row>
    <row r="49" spans="1:7" x14ac:dyDescent="0.25">
      <c r="A49" s="13"/>
      <c r="B49" s="7"/>
      <c r="C49" s="7" t="s">
        <v>475</v>
      </c>
      <c r="D49" s="7" t="s">
        <v>476</v>
      </c>
      <c r="E49" s="6"/>
      <c r="F49" s="6"/>
      <c r="G49" s="7"/>
    </row>
    <row r="50" spans="1:7" x14ac:dyDescent="0.25">
      <c r="A50" s="13">
        <f>IF(C50&lt;&gt;"",A47+1,"")</f>
        <v>43</v>
      </c>
      <c r="B50" s="7"/>
      <c r="C50" s="7" t="s">
        <v>335</v>
      </c>
      <c r="D50" s="7" t="s">
        <v>336</v>
      </c>
      <c r="E50" s="6" t="s">
        <v>75</v>
      </c>
      <c r="F50" s="6"/>
      <c r="G50" s="7"/>
    </row>
    <row r="51" spans="1:7" x14ac:dyDescent="0.25">
      <c r="A51" s="13">
        <f t="shared" si="0"/>
        <v>44</v>
      </c>
      <c r="B51" s="7"/>
      <c r="C51" s="7" t="s">
        <v>337</v>
      </c>
      <c r="D51" s="7" t="s">
        <v>338</v>
      </c>
      <c r="E51" s="6" t="s">
        <v>75</v>
      </c>
      <c r="F51" s="6"/>
      <c r="G51" s="7"/>
    </row>
    <row r="52" spans="1:7" x14ac:dyDescent="0.25">
      <c r="A52" s="13"/>
      <c r="B52" s="7"/>
      <c r="C52" s="7" t="s">
        <v>536</v>
      </c>
      <c r="D52" s="7" t="s">
        <v>537</v>
      </c>
      <c r="E52" s="6"/>
      <c r="F52" s="6"/>
      <c r="G52" s="7"/>
    </row>
    <row r="53" spans="1:7" x14ac:dyDescent="0.25">
      <c r="A53" s="13"/>
      <c r="B53" s="7"/>
      <c r="C53" s="7" t="s">
        <v>435</v>
      </c>
      <c r="D53" s="7" t="s">
        <v>434</v>
      </c>
      <c r="E53" s="6"/>
      <c r="F53" s="6"/>
      <c r="G53" s="7"/>
    </row>
    <row r="54" spans="1:7" x14ac:dyDescent="0.25">
      <c r="A54" s="13"/>
      <c r="B54" s="7"/>
      <c r="C54" s="7" t="s">
        <v>436</v>
      </c>
      <c r="D54" s="7" t="s">
        <v>437</v>
      </c>
      <c r="E54" s="6"/>
      <c r="F54" s="6"/>
      <c r="G54" s="7"/>
    </row>
    <row r="55" spans="1:7" x14ac:dyDescent="0.25">
      <c r="A55" s="13"/>
      <c r="B55" s="7"/>
      <c r="C55" s="7" t="s">
        <v>443</v>
      </c>
      <c r="D55" s="7" t="s">
        <v>444</v>
      </c>
      <c r="E55" s="6"/>
      <c r="F55" s="6"/>
      <c r="G55" s="7"/>
    </row>
    <row r="56" spans="1:7" x14ac:dyDescent="0.25">
      <c r="A56" s="13"/>
      <c r="B56" s="7"/>
      <c r="C56" s="7" t="s">
        <v>447</v>
      </c>
      <c r="D56" s="7" t="s">
        <v>448</v>
      </c>
      <c r="E56" s="6" t="s">
        <v>510</v>
      </c>
      <c r="F56" s="6"/>
      <c r="G56" s="7"/>
    </row>
    <row r="57" spans="1:7" x14ac:dyDescent="0.25">
      <c r="A57" s="13">
        <v>45</v>
      </c>
      <c r="B57" s="7"/>
      <c r="C57" s="7" t="s">
        <v>383</v>
      </c>
      <c r="D57" s="7" t="s">
        <v>384</v>
      </c>
      <c r="E57" s="6" t="s">
        <v>75</v>
      </c>
      <c r="F57" s="6"/>
      <c r="G57" s="7"/>
    </row>
    <row r="58" spans="1:7" x14ac:dyDescent="0.25">
      <c r="A58" s="13"/>
      <c r="B58" s="7"/>
      <c r="C58" s="7" t="s">
        <v>401</v>
      </c>
      <c r="D58" s="7" t="s">
        <v>402</v>
      </c>
      <c r="E58" s="6" t="s">
        <v>75</v>
      </c>
      <c r="F58" s="6"/>
      <c r="G58" s="7"/>
    </row>
    <row r="59" spans="1:7" x14ac:dyDescent="0.25">
      <c r="A59" s="13"/>
      <c r="B59" s="7"/>
      <c r="C59" s="7" t="s">
        <v>399</v>
      </c>
      <c r="D59" s="7" t="s">
        <v>400</v>
      </c>
      <c r="E59" s="6" t="s">
        <v>75</v>
      </c>
      <c r="F59" s="6"/>
      <c r="G59" s="7"/>
    </row>
    <row r="60" spans="1:7" x14ac:dyDescent="0.25">
      <c r="A60" s="13">
        <v>46</v>
      </c>
      <c r="B60" s="7"/>
      <c r="C60" s="7" t="s">
        <v>381</v>
      </c>
      <c r="D60" s="7" t="s">
        <v>382</v>
      </c>
      <c r="E60" s="6" t="s">
        <v>75</v>
      </c>
      <c r="F60" s="6"/>
      <c r="G60" s="7"/>
    </row>
    <row r="61" spans="1:7" x14ac:dyDescent="0.25">
      <c r="A61" s="13">
        <v>47</v>
      </c>
      <c r="B61" s="7"/>
      <c r="C61" s="7" t="s">
        <v>387</v>
      </c>
      <c r="D61" s="7" t="s">
        <v>388</v>
      </c>
      <c r="E61" s="6" t="s">
        <v>75</v>
      </c>
      <c r="F61" s="6"/>
      <c r="G61" s="7"/>
    </row>
    <row r="62" spans="1:7" x14ac:dyDescent="0.25">
      <c r="A62" s="13">
        <v>48</v>
      </c>
      <c r="B62" s="7"/>
      <c r="C62" s="7" t="s">
        <v>358</v>
      </c>
      <c r="D62" s="7" t="s">
        <v>359</v>
      </c>
      <c r="E62" s="6" t="s">
        <v>75</v>
      </c>
      <c r="F62" s="6"/>
      <c r="G62" s="7"/>
    </row>
    <row r="63" spans="1:7" x14ac:dyDescent="0.25">
      <c r="A63" s="13"/>
      <c r="B63" s="7"/>
      <c r="C63" s="7" t="s">
        <v>478</v>
      </c>
      <c r="D63" s="7" t="s">
        <v>477</v>
      </c>
      <c r="E63" s="6"/>
      <c r="F63" s="6"/>
      <c r="G63" s="7"/>
    </row>
    <row r="64" spans="1:7" x14ac:dyDescent="0.25">
      <c r="A64" s="13"/>
      <c r="B64" s="7"/>
      <c r="C64" s="7" t="s">
        <v>489</v>
      </c>
      <c r="D64" s="7" t="s">
        <v>490</v>
      </c>
      <c r="E64" s="6"/>
      <c r="F64" s="6"/>
      <c r="G64" s="7"/>
    </row>
    <row r="65" spans="1:7" ht="14.4" x14ac:dyDescent="0.3">
      <c r="A65" s="13"/>
      <c r="B65" s="7"/>
      <c r="C65" s="7" t="s">
        <v>463</v>
      </c>
      <c r="D65" s="7" t="s">
        <v>464</v>
      </c>
      <c r="E65" s="6" t="s">
        <v>501</v>
      </c>
      <c r="F65" s="6" t="s">
        <v>504</v>
      </c>
      <c r="G65" s="39" t="s">
        <v>502</v>
      </c>
    </row>
    <row r="66" spans="1:7" x14ac:dyDescent="0.25">
      <c r="A66" s="13"/>
      <c r="B66" s="7"/>
      <c r="C66" s="7" t="s">
        <v>457</v>
      </c>
      <c r="D66" s="7" t="s">
        <v>458</v>
      </c>
      <c r="E66" s="6"/>
      <c r="F66" s="6"/>
      <c r="G66" s="7"/>
    </row>
    <row r="67" spans="1:7" x14ac:dyDescent="0.25">
      <c r="A67" s="13">
        <v>49</v>
      </c>
      <c r="B67" s="7"/>
      <c r="C67" s="7" t="s">
        <v>377</v>
      </c>
      <c r="D67" s="7" t="s">
        <v>378</v>
      </c>
      <c r="E67" s="6" t="s">
        <v>75</v>
      </c>
      <c r="F67" s="6"/>
      <c r="G67" s="7"/>
    </row>
    <row r="68" spans="1:7" x14ac:dyDescent="0.25">
      <c r="A68" s="13">
        <v>50</v>
      </c>
      <c r="B68" s="7"/>
      <c r="C68" s="7" t="s">
        <v>379</v>
      </c>
      <c r="D68" s="7" t="s">
        <v>380</v>
      </c>
      <c r="E68" s="6" t="s">
        <v>75</v>
      </c>
      <c r="F68" s="6"/>
      <c r="G68" s="7"/>
    </row>
    <row r="69" spans="1:7" x14ac:dyDescent="0.25">
      <c r="A69" s="13"/>
      <c r="B69" s="7"/>
      <c r="C69" s="1" t="s">
        <v>577</v>
      </c>
      <c r="D69" s="7" t="s">
        <v>578</v>
      </c>
      <c r="E69" s="6" t="s">
        <v>579</v>
      </c>
      <c r="F69" s="6" t="s">
        <v>580</v>
      </c>
      <c r="G69" s="7"/>
    </row>
    <row r="70" spans="1:7" x14ac:dyDescent="0.25">
      <c r="A70" s="13"/>
      <c r="B70" s="7"/>
      <c r="C70" s="7"/>
      <c r="D70" s="7"/>
      <c r="E70" s="6"/>
      <c r="F70" s="6"/>
      <c r="G70" s="7"/>
    </row>
    <row r="71" spans="1:7" x14ac:dyDescent="0.25">
      <c r="A71" s="13" t="str">
        <f>IF(C71&lt;&gt;"",A19+1,"")</f>
        <v/>
      </c>
      <c r="B71" s="7"/>
      <c r="C71" s="7"/>
      <c r="D71" s="7"/>
      <c r="E71" s="6"/>
      <c r="F71" s="6"/>
      <c r="G71" s="7"/>
    </row>
  </sheetData>
  <autoFilter ref="D1:D71" xr:uid="{00000000-0009-0000-0000-00000C000000}"/>
  <conditionalFormatting sqref="C61">
    <cfRule type="duplicateValues" dxfId="23" priority="1"/>
    <cfRule type="duplicateValues" dxfId="22" priority="2"/>
  </conditionalFormatting>
  <conditionalFormatting sqref="C62:C68 C70:C1048576 C5:C60">
    <cfRule type="duplicateValues" dxfId="21" priority="3"/>
  </conditionalFormatting>
  <conditionalFormatting sqref="C62:C68 C70:C1048576 C28:C60">
    <cfRule type="duplicateValues" dxfId="20" priority="4"/>
  </conditionalFormatting>
  <hyperlinks>
    <hyperlink ref="G65" r:id="rId1" xr:uid="{00000000-0004-0000-0C00-000000000000}"/>
  </hyperlinks>
  <pageMargins left="0.7" right="0.7" top="0.75" bottom="0.75" header="0.3" footer="0.3"/>
  <pageSetup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L516"/>
  <sheetViews>
    <sheetView topLeftCell="A406" workbookViewId="0">
      <selection activeCell="B428" sqref="B428"/>
    </sheetView>
  </sheetViews>
  <sheetFormatPr defaultColWidth="9.109375" defaultRowHeight="13.8" x14ac:dyDescent="0.25"/>
  <cols>
    <col min="1" max="1" width="9.109375" style="3"/>
    <col min="2" max="2" width="18.6640625" style="21" customWidth="1"/>
    <col min="3" max="3" width="32.44140625" style="1" bestFit="1" customWidth="1"/>
    <col min="4" max="4" width="11.109375" style="1" bestFit="1" customWidth="1"/>
    <col min="5" max="5" width="9.109375" style="2" bestFit="1" customWidth="1"/>
    <col min="6" max="8" width="9.109375" style="1"/>
    <col min="9" max="9" width="15.44140625" style="1" customWidth="1"/>
    <col min="10" max="10" width="20.109375" style="1" customWidth="1"/>
    <col min="11" max="11" width="12.6640625" style="1" customWidth="1"/>
    <col min="12" max="12" width="16.88671875" style="1" customWidth="1"/>
    <col min="13" max="16384" width="9.109375" style="1"/>
  </cols>
  <sheetData>
    <row r="2" spans="1:5" s="17" customFormat="1" ht="29.25" customHeight="1" x14ac:dyDescent="0.3">
      <c r="A2" s="16" t="s">
        <v>11</v>
      </c>
      <c r="B2" s="20" t="s">
        <v>112</v>
      </c>
      <c r="C2" s="16" t="s">
        <v>113</v>
      </c>
      <c r="D2" s="16" t="s">
        <v>132</v>
      </c>
      <c r="E2" s="16" t="s">
        <v>114</v>
      </c>
    </row>
    <row r="3" spans="1:5" x14ac:dyDescent="0.25">
      <c r="A3" s="14">
        <v>1</v>
      </c>
      <c r="B3" s="18" t="s">
        <v>333</v>
      </c>
      <c r="C3" s="7" t="s">
        <v>333</v>
      </c>
      <c r="D3" s="14" t="s">
        <v>131</v>
      </c>
      <c r="E3" s="15">
        <v>150000</v>
      </c>
    </row>
    <row r="4" spans="1:5" x14ac:dyDescent="0.25">
      <c r="A4" s="14"/>
      <c r="B4" s="18" t="s">
        <v>1278</v>
      </c>
      <c r="C4" s="7" t="s">
        <v>1279</v>
      </c>
      <c r="D4" s="14" t="s">
        <v>1280</v>
      </c>
      <c r="E4" s="15">
        <v>440000</v>
      </c>
    </row>
    <row r="5" spans="1:5" x14ac:dyDescent="0.25">
      <c r="A5" s="14">
        <v>2</v>
      </c>
      <c r="B5" s="18" t="s">
        <v>425</v>
      </c>
      <c r="C5" s="7" t="s">
        <v>426</v>
      </c>
      <c r="D5" s="14" t="s">
        <v>131</v>
      </c>
      <c r="E5" s="15">
        <v>150000</v>
      </c>
    </row>
    <row r="6" spans="1:5" x14ac:dyDescent="0.25">
      <c r="A6" s="14">
        <v>3</v>
      </c>
      <c r="B6" s="18" t="s">
        <v>430</v>
      </c>
      <c r="C6" s="7" t="s">
        <v>431</v>
      </c>
      <c r="D6" s="14" t="s">
        <v>131</v>
      </c>
      <c r="E6" s="15">
        <v>150000</v>
      </c>
    </row>
    <row r="7" spans="1:5" x14ac:dyDescent="0.25">
      <c r="A7" s="14">
        <v>4</v>
      </c>
      <c r="B7" s="18" t="s">
        <v>428</v>
      </c>
      <c r="C7" s="7" t="s">
        <v>429</v>
      </c>
      <c r="D7" s="14" t="s">
        <v>131</v>
      </c>
      <c r="E7" s="15">
        <v>150000</v>
      </c>
    </row>
    <row r="8" spans="1:5" x14ac:dyDescent="0.25">
      <c r="A8" s="14">
        <v>5</v>
      </c>
      <c r="B8" s="18" t="s">
        <v>657</v>
      </c>
      <c r="C8" s="7" t="s">
        <v>658</v>
      </c>
      <c r="D8" s="14" t="s">
        <v>515</v>
      </c>
      <c r="E8" s="15">
        <v>160000</v>
      </c>
    </row>
    <row r="9" spans="1:5" x14ac:dyDescent="0.25">
      <c r="A9" s="14">
        <v>6</v>
      </c>
      <c r="B9" s="18" t="s">
        <v>659</v>
      </c>
      <c r="C9" s="7" t="s">
        <v>660</v>
      </c>
      <c r="D9" s="14" t="s">
        <v>515</v>
      </c>
      <c r="E9" s="15">
        <v>210000</v>
      </c>
    </row>
    <row r="10" spans="1:5" x14ac:dyDescent="0.25">
      <c r="A10" s="14"/>
      <c r="B10" s="18" t="s">
        <v>1105</v>
      </c>
      <c r="C10" s="7" t="s">
        <v>1106</v>
      </c>
      <c r="D10" s="14" t="s">
        <v>515</v>
      </c>
      <c r="E10" s="15">
        <v>160000</v>
      </c>
    </row>
    <row r="11" spans="1:5" x14ac:dyDescent="0.25">
      <c r="A11" s="14">
        <v>7</v>
      </c>
      <c r="B11" s="18" t="s">
        <v>661</v>
      </c>
      <c r="C11" s="7" t="s">
        <v>662</v>
      </c>
      <c r="D11" s="14" t="s">
        <v>515</v>
      </c>
      <c r="E11" s="15">
        <v>220000</v>
      </c>
    </row>
    <row r="12" spans="1:5" x14ac:dyDescent="0.25">
      <c r="A12" s="14"/>
      <c r="B12" s="18" t="s">
        <v>1065</v>
      </c>
      <c r="C12" s="7" t="s">
        <v>1066</v>
      </c>
      <c r="D12" s="14" t="s">
        <v>515</v>
      </c>
      <c r="E12" s="15">
        <v>75000</v>
      </c>
    </row>
    <row r="13" spans="1:5" x14ac:dyDescent="0.25">
      <c r="A13" s="14">
        <v>8</v>
      </c>
      <c r="B13" s="18" t="s">
        <v>345</v>
      </c>
      <c r="C13" s="7" t="s">
        <v>346</v>
      </c>
      <c r="D13" s="14" t="s">
        <v>131</v>
      </c>
      <c r="E13" s="15">
        <v>5500</v>
      </c>
    </row>
    <row r="14" spans="1:5" x14ac:dyDescent="0.25">
      <c r="A14" s="14">
        <v>9</v>
      </c>
      <c r="B14" s="18" t="s">
        <v>663</v>
      </c>
      <c r="C14" s="7" t="s">
        <v>664</v>
      </c>
      <c r="D14" s="14" t="s">
        <v>488</v>
      </c>
      <c r="E14" s="15">
        <v>5000</v>
      </c>
    </row>
    <row r="15" spans="1:5" x14ac:dyDescent="0.25">
      <c r="A15" s="14">
        <v>10</v>
      </c>
      <c r="B15" s="18" t="s">
        <v>665</v>
      </c>
      <c r="C15" s="7" t="s">
        <v>666</v>
      </c>
      <c r="D15" s="14" t="s">
        <v>488</v>
      </c>
      <c r="E15" s="15">
        <v>5000</v>
      </c>
    </row>
    <row r="16" spans="1:5" x14ac:dyDescent="0.25">
      <c r="A16" s="14">
        <v>11</v>
      </c>
      <c r="B16" s="18" t="s">
        <v>486</v>
      </c>
      <c r="C16" s="7" t="s">
        <v>487</v>
      </c>
      <c r="D16" s="14" t="s">
        <v>488</v>
      </c>
      <c r="E16" s="15">
        <v>1800</v>
      </c>
    </row>
    <row r="17" spans="1:5" x14ac:dyDescent="0.25">
      <c r="A17" s="14">
        <v>12</v>
      </c>
      <c r="B17" s="18" t="s">
        <v>667</v>
      </c>
      <c r="C17" s="7" t="s">
        <v>668</v>
      </c>
      <c r="D17" s="14" t="s">
        <v>131</v>
      </c>
      <c r="E17" s="15">
        <v>8000</v>
      </c>
    </row>
    <row r="18" spans="1:5" x14ac:dyDescent="0.25">
      <c r="A18" s="14">
        <v>13</v>
      </c>
      <c r="B18" s="18" t="s">
        <v>249</v>
      </c>
      <c r="C18" s="7" t="s">
        <v>250</v>
      </c>
      <c r="D18" s="14" t="s">
        <v>131</v>
      </c>
      <c r="E18" s="15">
        <v>150000</v>
      </c>
    </row>
    <row r="19" spans="1:5" x14ac:dyDescent="0.25">
      <c r="A19" s="14">
        <v>14</v>
      </c>
      <c r="B19" s="18" t="s">
        <v>224</v>
      </c>
      <c r="C19" s="7" t="s">
        <v>225</v>
      </c>
      <c r="D19" s="14" t="s">
        <v>131</v>
      </c>
      <c r="E19" s="15">
        <v>150000</v>
      </c>
    </row>
    <row r="20" spans="1:5" x14ac:dyDescent="0.25">
      <c r="A20" s="14">
        <v>15</v>
      </c>
      <c r="B20" s="18" t="s">
        <v>280</v>
      </c>
      <c r="C20" s="7" t="s">
        <v>281</v>
      </c>
      <c r="D20" s="14" t="s">
        <v>131</v>
      </c>
      <c r="E20" s="15">
        <v>150000</v>
      </c>
    </row>
    <row r="21" spans="1:5" x14ac:dyDescent="0.25">
      <c r="A21" s="14">
        <v>16</v>
      </c>
      <c r="B21" s="18" t="s">
        <v>264</v>
      </c>
      <c r="C21" s="7" t="s">
        <v>264</v>
      </c>
      <c r="D21" s="14" t="s">
        <v>131</v>
      </c>
      <c r="E21" s="15">
        <v>100000</v>
      </c>
    </row>
    <row r="22" spans="1:5" x14ac:dyDescent="0.25">
      <c r="A22" s="14">
        <v>17</v>
      </c>
      <c r="B22" s="18" t="s">
        <v>669</v>
      </c>
      <c r="C22" s="7" t="s">
        <v>669</v>
      </c>
      <c r="D22" s="14" t="s">
        <v>131</v>
      </c>
      <c r="E22" s="15">
        <v>50000</v>
      </c>
    </row>
    <row r="23" spans="1:5" x14ac:dyDescent="0.25">
      <c r="A23" s="14">
        <v>18</v>
      </c>
      <c r="B23" s="18" t="s">
        <v>242</v>
      </c>
      <c r="C23" s="7" t="s">
        <v>243</v>
      </c>
      <c r="D23" s="14" t="s">
        <v>131</v>
      </c>
      <c r="E23" s="15">
        <v>170000</v>
      </c>
    </row>
    <row r="24" spans="1:5" x14ac:dyDescent="0.25">
      <c r="A24" s="14">
        <v>19</v>
      </c>
      <c r="B24" s="18" t="s">
        <v>260</v>
      </c>
      <c r="C24" s="7" t="s">
        <v>261</v>
      </c>
      <c r="D24" s="14" t="s">
        <v>131</v>
      </c>
      <c r="E24" s="15">
        <v>170000</v>
      </c>
    </row>
    <row r="25" spans="1:5" x14ac:dyDescent="0.25">
      <c r="A25" s="14">
        <v>20</v>
      </c>
      <c r="B25" s="18" t="s">
        <v>164</v>
      </c>
      <c r="C25" s="7" t="s">
        <v>165</v>
      </c>
      <c r="D25" s="14" t="s">
        <v>131</v>
      </c>
      <c r="E25" s="15">
        <v>170000</v>
      </c>
    </row>
    <row r="26" spans="1:5" x14ac:dyDescent="0.25">
      <c r="A26" s="14">
        <v>21</v>
      </c>
      <c r="B26" s="18" t="s">
        <v>518</v>
      </c>
      <c r="C26" s="7" t="s">
        <v>520</v>
      </c>
      <c r="D26" s="14" t="s">
        <v>131</v>
      </c>
      <c r="E26" s="15">
        <v>170000</v>
      </c>
    </row>
    <row r="27" spans="1:5" x14ac:dyDescent="0.25">
      <c r="A27" s="14">
        <v>22</v>
      </c>
      <c r="B27" s="18" t="s">
        <v>670</v>
      </c>
      <c r="C27" s="7" t="s">
        <v>671</v>
      </c>
      <c r="D27" s="14" t="s">
        <v>131</v>
      </c>
      <c r="E27" s="15">
        <v>170000</v>
      </c>
    </row>
    <row r="28" spans="1:5" x14ac:dyDescent="0.25">
      <c r="A28" s="14">
        <v>23</v>
      </c>
      <c r="B28" s="18" t="s">
        <v>672</v>
      </c>
      <c r="C28" s="7" t="s">
        <v>673</v>
      </c>
      <c r="D28" s="14" t="s">
        <v>131</v>
      </c>
      <c r="E28" s="15">
        <v>170000</v>
      </c>
    </row>
    <row r="29" spans="1:5" x14ac:dyDescent="0.25">
      <c r="A29" s="14">
        <v>24</v>
      </c>
      <c r="B29" s="18" t="s">
        <v>1003</v>
      </c>
      <c r="C29" s="7" t="s">
        <v>1004</v>
      </c>
      <c r="D29" s="14" t="s">
        <v>131</v>
      </c>
      <c r="E29" s="15">
        <v>170000</v>
      </c>
    </row>
    <row r="30" spans="1:5" x14ac:dyDescent="0.25">
      <c r="A30" s="14"/>
      <c r="B30" s="18" t="s">
        <v>1269</v>
      </c>
      <c r="C30" s="7" t="s">
        <v>1270</v>
      </c>
      <c r="D30" s="14" t="s">
        <v>131</v>
      </c>
      <c r="E30" s="15">
        <v>170000</v>
      </c>
    </row>
    <row r="31" spans="1:5" x14ac:dyDescent="0.25">
      <c r="A31" s="14">
        <v>25</v>
      </c>
      <c r="B31" s="18" t="s">
        <v>167</v>
      </c>
      <c r="C31" s="7" t="s">
        <v>195</v>
      </c>
      <c r="D31" s="14" t="s">
        <v>131</v>
      </c>
      <c r="E31" s="15">
        <v>23000</v>
      </c>
    </row>
    <row r="32" spans="1:5" x14ac:dyDescent="0.25">
      <c r="A32" s="14">
        <v>26</v>
      </c>
      <c r="B32" s="18" t="s">
        <v>175</v>
      </c>
      <c r="C32" s="7" t="s">
        <v>170</v>
      </c>
      <c r="D32" s="14" t="s">
        <v>131</v>
      </c>
      <c r="E32" s="15">
        <v>800000</v>
      </c>
    </row>
    <row r="33" spans="1:5" x14ac:dyDescent="0.25">
      <c r="A33" s="14">
        <v>27</v>
      </c>
      <c r="B33" s="18" t="s">
        <v>155</v>
      </c>
      <c r="C33" s="7" t="s">
        <v>154</v>
      </c>
      <c r="D33" s="14" t="s">
        <v>143</v>
      </c>
      <c r="E33" s="15">
        <v>10000</v>
      </c>
    </row>
    <row r="34" spans="1:5" x14ac:dyDescent="0.25">
      <c r="A34" s="14">
        <v>28</v>
      </c>
      <c r="B34" s="18" t="s">
        <v>674</v>
      </c>
      <c r="C34" s="7" t="s">
        <v>675</v>
      </c>
      <c r="D34" s="14" t="s">
        <v>143</v>
      </c>
      <c r="E34" s="15">
        <v>3000</v>
      </c>
    </row>
    <row r="35" spans="1:5" x14ac:dyDescent="0.25">
      <c r="A35" s="14">
        <v>29</v>
      </c>
      <c r="B35" s="18" t="s">
        <v>676</v>
      </c>
      <c r="C35" s="7" t="s">
        <v>604</v>
      </c>
      <c r="D35" s="14" t="s">
        <v>143</v>
      </c>
      <c r="E35" s="15">
        <v>12000</v>
      </c>
    </row>
    <row r="36" spans="1:5" x14ac:dyDescent="0.25">
      <c r="A36" s="14">
        <v>30</v>
      </c>
      <c r="B36" s="18" t="s">
        <v>141</v>
      </c>
      <c r="C36" s="7" t="s">
        <v>142</v>
      </c>
      <c r="D36" s="14" t="s">
        <v>143</v>
      </c>
      <c r="E36" s="15">
        <v>15000</v>
      </c>
    </row>
    <row r="37" spans="1:5" x14ac:dyDescent="0.25">
      <c r="A37" s="14">
        <v>31</v>
      </c>
      <c r="B37" s="18" t="s">
        <v>677</v>
      </c>
      <c r="C37" s="7" t="s">
        <v>677</v>
      </c>
      <c r="D37" s="14" t="s">
        <v>143</v>
      </c>
      <c r="E37" s="15">
        <v>3000</v>
      </c>
    </row>
    <row r="38" spans="1:5" x14ac:dyDescent="0.25">
      <c r="A38" s="14"/>
      <c r="B38" s="18" t="s">
        <v>1067</v>
      </c>
      <c r="C38" s="7" t="s">
        <v>1068</v>
      </c>
      <c r="D38" s="14" t="s">
        <v>143</v>
      </c>
      <c r="E38" s="15">
        <v>5000</v>
      </c>
    </row>
    <row r="39" spans="1:5" x14ac:dyDescent="0.25">
      <c r="A39" s="14">
        <v>32</v>
      </c>
      <c r="B39" s="18">
        <v>729</v>
      </c>
      <c r="C39" s="7" t="s">
        <v>200</v>
      </c>
      <c r="D39" s="14" t="s">
        <v>131</v>
      </c>
      <c r="E39" s="15">
        <v>150000</v>
      </c>
    </row>
    <row r="40" spans="1:5" x14ac:dyDescent="0.25">
      <c r="A40" s="14">
        <v>33</v>
      </c>
      <c r="B40" s="18" t="s">
        <v>137</v>
      </c>
      <c r="C40" s="7" t="s">
        <v>138</v>
      </c>
      <c r="D40" s="14" t="s">
        <v>131</v>
      </c>
      <c r="E40" s="15">
        <v>150000</v>
      </c>
    </row>
    <row r="41" spans="1:5" x14ac:dyDescent="0.25">
      <c r="A41" s="14">
        <v>34</v>
      </c>
      <c r="B41" s="18" t="s">
        <v>678</v>
      </c>
      <c r="C41" s="7" t="s">
        <v>679</v>
      </c>
      <c r="D41" s="14" t="s">
        <v>131</v>
      </c>
      <c r="E41" s="15">
        <v>150000</v>
      </c>
    </row>
    <row r="42" spans="1:5" x14ac:dyDescent="0.25">
      <c r="A42" s="14">
        <v>35</v>
      </c>
      <c r="B42" s="18" t="s">
        <v>554</v>
      </c>
      <c r="C42" s="7" t="s">
        <v>555</v>
      </c>
      <c r="D42" s="14" t="s">
        <v>131</v>
      </c>
      <c r="E42" s="15">
        <v>150000</v>
      </c>
    </row>
    <row r="43" spans="1:5" x14ac:dyDescent="0.25">
      <c r="A43" s="14">
        <v>36</v>
      </c>
      <c r="B43" s="18" t="s">
        <v>356</v>
      </c>
      <c r="C43" s="7" t="s">
        <v>357</v>
      </c>
      <c r="D43" s="14" t="s">
        <v>131</v>
      </c>
      <c r="E43" s="15">
        <v>150000</v>
      </c>
    </row>
    <row r="44" spans="1:5" x14ac:dyDescent="0.25">
      <c r="A44" s="14">
        <v>37</v>
      </c>
      <c r="B44" s="18" t="s">
        <v>214</v>
      </c>
      <c r="C44" s="7" t="s">
        <v>438</v>
      </c>
      <c r="D44" s="14" t="s">
        <v>131</v>
      </c>
      <c r="E44" s="15">
        <v>150000</v>
      </c>
    </row>
    <row r="45" spans="1:5" x14ac:dyDescent="0.25">
      <c r="A45" s="14">
        <v>38</v>
      </c>
      <c r="B45" s="18" t="s">
        <v>417</v>
      </c>
      <c r="C45" s="7" t="s">
        <v>418</v>
      </c>
      <c r="D45" s="14" t="s">
        <v>131</v>
      </c>
      <c r="E45" s="15">
        <v>150000</v>
      </c>
    </row>
    <row r="46" spans="1:5" x14ac:dyDescent="0.25">
      <c r="A46" s="14">
        <v>39</v>
      </c>
      <c r="B46" s="18" t="s">
        <v>680</v>
      </c>
      <c r="C46" s="7" t="s">
        <v>681</v>
      </c>
      <c r="D46" s="14" t="s">
        <v>131</v>
      </c>
      <c r="E46" s="15">
        <v>150000</v>
      </c>
    </row>
    <row r="47" spans="1:5" x14ac:dyDescent="0.25">
      <c r="A47" s="14"/>
      <c r="B47" s="18" t="s">
        <v>1187</v>
      </c>
      <c r="C47" s="7" t="s">
        <v>1188</v>
      </c>
      <c r="D47" s="14" t="s">
        <v>131</v>
      </c>
      <c r="E47" s="15">
        <v>150000</v>
      </c>
    </row>
    <row r="48" spans="1:5" x14ac:dyDescent="0.25">
      <c r="A48" s="14">
        <v>40</v>
      </c>
      <c r="B48" s="18" t="s">
        <v>682</v>
      </c>
      <c r="C48" s="7" t="s">
        <v>251</v>
      </c>
      <c r="D48" s="14" t="s">
        <v>131</v>
      </c>
      <c r="E48" s="15">
        <v>150000</v>
      </c>
    </row>
    <row r="49" spans="1:5" x14ac:dyDescent="0.25">
      <c r="A49" s="14">
        <v>41</v>
      </c>
      <c r="B49" s="18" t="s">
        <v>272</v>
      </c>
      <c r="C49" s="7" t="s">
        <v>273</v>
      </c>
      <c r="D49" s="14" t="s">
        <v>131</v>
      </c>
      <c r="E49" s="15">
        <v>150000</v>
      </c>
    </row>
    <row r="50" spans="1:5" x14ac:dyDescent="0.25">
      <c r="A50" s="14">
        <v>42</v>
      </c>
      <c r="B50" s="18" t="s">
        <v>683</v>
      </c>
      <c r="C50" s="7" t="s">
        <v>334</v>
      </c>
      <c r="D50" s="14" t="s">
        <v>131</v>
      </c>
      <c r="E50" s="15">
        <v>150000</v>
      </c>
    </row>
    <row r="51" spans="1:5" x14ac:dyDescent="0.25">
      <c r="A51" s="14">
        <v>43</v>
      </c>
      <c r="B51" s="18" t="s">
        <v>684</v>
      </c>
      <c r="C51" s="7" t="s">
        <v>201</v>
      </c>
      <c r="D51" s="14" t="s">
        <v>131</v>
      </c>
      <c r="E51" s="15">
        <v>150000</v>
      </c>
    </row>
    <row r="52" spans="1:5" x14ac:dyDescent="0.25">
      <c r="A52" s="14">
        <v>43</v>
      </c>
      <c r="B52" s="18" t="s">
        <v>1107</v>
      </c>
      <c r="C52" s="7" t="s">
        <v>1108</v>
      </c>
      <c r="D52" s="14" t="s">
        <v>131</v>
      </c>
      <c r="E52" s="15">
        <v>150000</v>
      </c>
    </row>
    <row r="53" spans="1:5" x14ac:dyDescent="0.25">
      <c r="A53" s="14">
        <v>44</v>
      </c>
      <c r="B53" s="18" t="s">
        <v>262</v>
      </c>
      <c r="C53" s="7" t="s">
        <v>263</v>
      </c>
      <c r="D53" s="14" t="s">
        <v>131</v>
      </c>
      <c r="E53" s="15">
        <v>150000</v>
      </c>
    </row>
    <row r="54" spans="1:5" x14ac:dyDescent="0.25">
      <c r="A54" s="14">
        <v>45</v>
      </c>
      <c r="B54" s="18" t="s">
        <v>685</v>
      </c>
      <c r="C54" s="7" t="s">
        <v>686</v>
      </c>
      <c r="D54" s="14" t="s">
        <v>131</v>
      </c>
      <c r="E54" s="15">
        <v>150000</v>
      </c>
    </row>
    <row r="55" spans="1:5" x14ac:dyDescent="0.25">
      <c r="A55" s="14">
        <v>46</v>
      </c>
      <c r="B55" s="18" t="s">
        <v>643</v>
      </c>
      <c r="C55" s="7" t="s">
        <v>687</v>
      </c>
      <c r="D55" s="14" t="s">
        <v>131</v>
      </c>
      <c r="E55" s="15">
        <v>150000</v>
      </c>
    </row>
    <row r="56" spans="1:5" x14ac:dyDescent="0.25">
      <c r="A56" s="14">
        <v>47</v>
      </c>
      <c r="B56" s="18" t="s">
        <v>644</v>
      </c>
      <c r="C56" s="7" t="s">
        <v>688</v>
      </c>
      <c r="D56" s="14" t="s">
        <v>131</v>
      </c>
      <c r="E56" s="15">
        <v>150000</v>
      </c>
    </row>
    <row r="57" spans="1:5" x14ac:dyDescent="0.25">
      <c r="A57" s="14">
        <v>48</v>
      </c>
      <c r="B57" s="18" t="s">
        <v>689</v>
      </c>
      <c r="C57" s="7" t="s">
        <v>690</v>
      </c>
      <c r="D57" s="14" t="s">
        <v>131</v>
      </c>
      <c r="E57" s="15">
        <v>150000</v>
      </c>
    </row>
    <row r="58" spans="1:5" x14ac:dyDescent="0.25">
      <c r="A58" s="14">
        <v>49</v>
      </c>
      <c r="B58" s="18" t="s">
        <v>691</v>
      </c>
      <c r="C58" s="7" t="s">
        <v>691</v>
      </c>
      <c r="D58" s="14" t="s">
        <v>131</v>
      </c>
      <c r="E58" s="15">
        <v>150000</v>
      </c>
    </row>
    <row r="59" spans="1:5" x14ac:dyDescent="0.25">
      <c r="A59" s="14">
        <v>50</v>
      </c>
      <c r="B59" s="18" t="s">
        <v>692</v>
      </c>
      <c r="C59" s="7" t="s">
        <v>693</v>
      </c>
      <c r="D59" s="14" t="s">
        <v>131</v>
      </c>
      <c r="E59" s="15">
        <v>150000</v>
      </c>
    </row>
    <row r="60" spans="1:5" x14ac:dyDescent="0.25">
      <c r="A60" s="14">
        <v>51</v>
      </c>
      <c r="B60" s="18" t="s">
        <v>694</v>
      </c>
      <c r="C60" s="7" t="s">
        <v>695</v>
      </c>
      <c r="D60" s="14" t="s">
        <v>131</v>
      </c>
      <c r="E60" s="15">
        <v>150000</v>
      </c>
    </row>
    <row r="61" spans="1:5" x14ac:dyDescent="0.25">
      <c r="A61" s="14">
        <v>52</v>
      </c>
      <c r="B61" s="18" t="s">
        <v>696</v>
      </c>
      <c r="C61" s="7" t="s">
        <v>697</v>
      </c>
      <c r="D61" s="14" t="s">
        <v>131</v>
      </c>
      <c r="E61" s="15">
        <v>150000</v>
      </c>
    </row>
    <row r="62" spans="1:5" x14ac:dyDescent="0.25">
      <c r="A62" s="14">
        <v>53</v>
      </c>
      <c r="B62" s="18" t="s">
        <v>698</v>
      </c>
      <c r="C62" s="7" t="s">
        <v>699</v>
      </c>
      <c r="D62" s="14" t="s">
        <v>131</v>
      </c>
      <c r="E62" s="15">
        <v>150000</v>
      </c>
    </row>
    <row r="63" spans="1:5" x14ac:dyDescent="0.25">
      <c r="A63" s="14">
        <v>54</v>
      </c>
      <c r="B63" s="18" t="s">
        <v>473</v>
      </c>
      <c r="C63" s="7" t="s">
        <v>474</v>
      </c>
      <c r="D63" s="14" t="s">
        <v>131</v>
      </c>
      <c r="E63" s="15">
        <v>150000</v>
      </c>
    </row>
    <row r="64" spans="1:5" x14ac:dyDescent="0.25">
      <c r="A64" s="14">
        <v>55</v>
      </c>
      <c r="B64" s="18" t="s">
        <v>625</v>
      </c>
      <c r="C64" s="7" t="s">
        <v>700</v>
      </c>
      <c r="D64" s="14" t="s">
        <v>131</v>
      </c>
      <c r="E64" s="15">
        <v>150000</v>
      </c>
    </row>
    <row r="65" spans="1:5" x14ac:dyDescent="0.25">
      <c r="A65" s="14">
        <v>56</v>
      </c>
      <c r="B65" s="18" t="s">
        <v>139</v>
      </c>
      <c r="C65" s="7" t="s">
        <v>140</v>
      </c>
      <c r="D65" s="14" t="s">
        <v>131</v>
      </c>
      <c r="E65" s="15">
        <v>150000</v>
      </c>
    </row>
    <row r="66" spans="1:5" x14ac:dyDescent="0.25">
      <c r="A66" s="14">
        <v>57</v>
      </c>
      <c r="B66" s="18" t="s">
        <v>516</v>
      </c>
      <c r="C66" s="7" t="s">
        <v>517</v>
      </c>
      <c r="D66" s="14" t="s">
        <v>131</v>
      </c>
      <c r="E66" s="15">
        <v>150000</v>
      </c>
    </row>
    <row r="67" spans="1:5" x14ac:dyDescent="0.25">
      <c r="A67" s="14">
        <v>58</v>
      </c>
      <c r="B67" s="18" t="s">
        <v>701</v>
      </c>
      <c r="C67" s="7" t="s">
        <v>550</v>
      </c>
      <c r="D67" s="14" t="s">
        <v>131</v>
      </c>
      <c r="E67" s="15">
        <v>150000</v>
      </c>
    </row>
    <row r="68" spans="1:5" x14ac:dyDescent="0.25">
      <c r="A68" s="14">
        <v>59</v>
      </c>
      <c r="B68" s="18" t="s">
        <v>702</v>
      </c>
      <c r="C68" s="7" t="s">
        <v>703</v>
      </c>
      <c r="D68" s="14" t="s">
        <v>131</v>
      </c>
      <c r="E68" s="15">
        <v>150000</v>
      </c>
    </row>
    <row r="69" spans="1:5" x14ac:dyDescent="0.25">
      <c r="A69" s="14">
        <v>60</v>
      </c>
      <c r="B69" s="18" t="s">
        <v>704</v>
      </c>
      <c r="C69" s="7" t="s">
        <v>705</v>
      </c>
      <c r="D69" s="14" t="s">
        <v>131</v>
      </c>
      <c r="E69" s="15">
        <v>150000</v>
      </c>
    </row>
    <row r="70" spans="1:5" x14ac:dyDescent="0.25">
      <c r="A70" s="14">
        <v>61</v>
      </c>
      <c r="B70" s="18" t="s">
        <v>706</v>
      </c>
      <c r="C70" s="7" t="s">
        <v>707</v>
      </c>
      <c r="D70" s="14" t="s">
        <v>131</v>
      </c>
      <c r="E70" s="15">
        <v>150000</v>
      </c>
    </row>
    <row r="71" spans="1:5" x14ac:dyDescent="0.25">
      <c r="A71" s="14">
        <v>62</v>
      </c>
      <c r="B71" s="18" t="s">
        <v>560</v>
      </c>
      <c r="C71" s="7" t="s">
        <v>708</v>
      </c>
      <c r="D71" s="14" t="s">
        <v>131</v>
      </c>
      <c r="E71" s="15">
        <v>150000</v>
      </c>
    </row>
    <row r="72" spans="1:5" x14ac:dyDescent="0.25">
      <c r="A72" s="14">
        <v>63</v>
      </c>
      <c r="B72" s="18" t="s">
        <v>519</v>
      </c>
      <c r="C72" s="7" t="s">
        <v>521</v>
      </c>
      <c r="D72" s="14" t="s">
        <v>131</v>
      </c>
      <c r="E72" s="15">
        <v>150000</v>
      </c>
    </row>
    <row r="73" spans="1:5" x14ac:dyDescent="0.25">
      <c r="A73" s="14">
        <v>64</v>
      </c>
      <c r="B73" s="18" t="s">
        <v>709</v>
      </c>
      <c r="C73" s="7" t="s">
        <v>710</v>
      </c>
      <c r="D73" s="14" t="s">
        <v>131</v>
      </c>
      <c r="E73" s="15">
        <v>150000</v>
      </c>
    </row>
    <row r="74" spans="1:5" x14ac:dyDescent="0.25">
      <c r="A74" s="14">
        <v>65</v>
      </c>
      <c r="B74" s="18" t="s">
        <v>711</v>
      </c>
      <c r="C74" s="7" t="s">
        <v>569</v>
      </c>
      <c r="D74" s="14" t="s">
        <v>131</v>
      </c>
      <c r="E74" s="15">
        <v>150000</v>
      </c>
    </row>
    <row r="75" spans="1:5" x14ac:dyDescent="0.25">
      <c r="A75" s="14">
        <v>66</v>
      </c>
      <c r="B75" s="18" t="s">
        <v>712</v>
      </c>
      <c r="C75" s="7" t="s">
        <v>713</v>
      </c>
      <c r="D75" s="14" t="s">
        <v>131</v>
      </c>
      <c r="E75" s="15">
        <v>150000</v>
      </c>
    </row>
    <row r="76" spans="1:5" x14ac:dyDescent="0.25">
      <c r="A76" s="14">
        <v>67</v>
      </c>
      <c r="B76" s="18" t="s">
        <v>714</v>
      </c>
      <c r="C76" s="7" t="s">
        <v>715</v>
      </c>
      <c r="D76" s="14" t="s">
        <v>143</v>
      </c>
      <c r="E76" s="15">
        <v>45000</v>
      </c>
    </row>
    <row r="77" spans="1:5" x14ac:dyDescent="0.25">
      <c r="A77" s="14">
        <v>68</v>
      </c>
      <c r="B77" s="18" t="s">
        <v>148</v>
      </c>
      <c r="C77" s="7" t="s">
        <v>149</v>
      </c>
      <c r="D77" s="14" t="s">
        <v>131</v>
      </c>
      <c r="E77" s="15">
        <v>195000</v>
      </c>
    </row>
    <row r="78" spans="1:5" x14ac:dyDescent="0.25">
      <c r="A78" s="14">
        <v>69</v>
      </c>
      <c r="B78" s="18" t="s">
        <v>177</v>
      </c>
      <c r="C78" s="7" t="s">
        <v>178</v>
      </c>
      <c r="D78" s="14" t="s">
        <v>131</v>
      </c>
      <c r="E78" s="15">
        <v>195000</v>
      </c>
    </row>
    <row r="79" spans="1:5" x14ac:dyDescent="0.25">
      <c r="A79" s="14">
        <v>70</v>
      </c>
      <c r="B79" s="18" t="s">
        <v>176</v>
      </c>
      <c r="C79" s="7" t="s">
        <v>344</v>
      </c>
      <c r="D79" s="14" t="s">
        <v>131</v>
      </c>
      <c r="E79" s="15">
        <v>800000</v>
      </c>
    </row>
    <row r="80" spans="1:5" x14ac:dyDescent="0.25">
      <c r="A80" s="14">
        <v>71</v>
      </c>
      <c r="B80" s="18" t="s">
        <v>196</v>
      </c>
      <c r="C80" s="7" t="s">
        <v>166</v>
      </c>
      <c r="D80" s="14" t="s">
        <v>131</v>
      </c>
      <c r="E80" s="15">
        <v>195000</v>
      </c>
    </row>
    <row r="81" spans="1:5" x14ac:dyDescent="0.25">
      <c r="A81" s="14">
        <v>72</v>
      </c>
      <c r="B81" s="18" t="s">
        <v>168</v>
      </c>
      <c r="C81" s="7" t="s">
        <v>169</v>
      </c>
      <c r="D81" s="14" t="s">
        <v>131</v>
      </c>
      <c r="E81" s="15">
        <v>800000</v>
      </c>
    </row>
    <row r="82" spans="1:5" x14ac:dyDescent="0.25">
      <c r="A82" s="14">
        <v>73</v>
      </c>
      <c r="B82" s="18" t="s">
        <v>150</v>
      </c>
      <c r="C82" s="7" t="s">
        <v>151</v>
      </c>
      <c r="D82" s="14" t="s">
        <v>131</v>
      </c>
      <c r="E82" s="15">
        <v>195000</v>
      </c>
    </row>
    <row r="83" spans="1:5" x14ac:dyDescent="0.25">
      <c r="A83" s="14">
        <v>74</v>
      </c>
      <c r="B83" s="18" t="s">
        <v>716</v>
      </c>
      <c r="C83" s="7" t="s">
        <v>717</v>
      </c>
      <c r="D83" s="14" t="s">
        <v>131</v>
      </c>
      <c r="E83" s="15">
        <v>195000</v>
      </c>
    </row>
    <row r="84" spans="1:5" x14ac:dyDescent="0.25">
      <c r="A84" s="14">
        <v>75</v>
      </c>
      <c r="B84" s="18" t="s">
        <v>649</v>
      </c>
      <c r="C84" s="7" t="s">
        <v>718</v>
      </c>
      <c r="D84" s="14" t="s">
        <v>131</v>
      </c>
      <c r="E84" s="15">
        <v>195000</v>
      </c>
    </row>
    <row r="85" spans="1:5" x14ac:dyDescent="0.25">
      <c r="A85" s="14">
        <v>76</v>
      </c>
      <c r="B85" s="18" t="s">
        <v>561</v>
      </c>
      <c r="C85" s="7" t="s">
        <v>562</v>
      </c>
      <c r="D85" s="14" t="s">
        <v>131</v>
      </c>
      <c r="E85" s="15">
        <v>195000</v>
      </c>
    </row>
    <row r="86" spans="1:5" x14ac:dyDescent="0.25">
      <c r="A86" s="14">
        <v>77</v>
      </c>
      <c r="B86" s="18" t="s">
        <v>719</v>
      </c>
      <c r="C86" s="7" t="s">
        <v>720</v>
      </c>
      <c r="D86" s="14" t="s">
        <v>488</v>
      </c>
      <c r="E86" s="15">
        <v>50000</v>
      </c>
    </row>
    <row r="87" spans="1:5" x14ac:dyDescent="0.25">
      <c r="A87" s="14">
        <v>78</v>
      </c>
      <c r="B87" s="18" t="s">
        <v>721</v>
      </c>
      <c r="C87" s="7" t="s">
        <v>722</v>
      </c>
      <c r="D87" s="14" t="s">
        <v>488</v>
      </c>
      <c r="E87" s="15">
        <v>100000</v>
      </c>
    </row>
    <row r="88" spans="1:5" x14ac:dyDescent="0.25">
      <c r="A88" s="14">
        <v>79</v>
      </c>
      <c r="B88" s="18" t="s">
        <v>723</v>
      </c>
      <c r="C88" s="7" t="s">
        <v>724</v>
      </c>
      <c r="D88" s="14" t="s">
        <v>131</v>
      </c>
      <c r="E88" s="15">
        <v>10000</v>
      </c>
    </row>
    <row r="89" spans="1:5" x14ac:dyDescent="0.25">
      <c r="A89" s="14">
        <v>80</v>
      </c>
      <c r="B89" s="18" t="s">
        <v>603</v>
      </c>
      <c r="C89" s="7" t="s">
        <v>195</v>
      </c>
      <c r="D89" s="14" t="s">
        <v>131</v>
      </c>
      <c r="E89" s="15">
        <v>25000</v>
      </c>
    </row>
    <row r="90" spans="1:5" x14ac:dyDescent="0.25">
      <c r="A90" s="14">
        <v>81</v>
      </c>
      <c r="B90" s="18"/>
      <c r="C90" s="7" t="s">
        <v>97</v>
      </c>
      <c r="D90" s="14" t="s">
        <v>131</v>
      </c>
      <c r="E90" s="15">
        <v>150000</v>
      </c>
    </row>
    <row r="91" spans="1:5" x14ac:dyDescent="0.25">
      <c r="A91" s="14">
        <v>82</v>
      </c>
      <c r="B91" s="18" t="s">
        <v>395</v>
      </c>
      <c r="C91" s="7" t="s">
        <v>396</v>
      </c>
      <c r="D91" s="14" t="s">
        <v>131</v>
      </c>
      <c r="E91" s="15">
        <v>150000</v>
      </c>
    </row>
    <row r="92" spans="1:5" x14ac:dyDescent="0.25">
      <c r="A92" s="14"/>
      <c r="B92" s="18" t="s">
        <v>1035</v>
      </c>
      <c r="C92" s="7" t="s">
        <v>1036</v>
      </c>
      <c r="D92" s="14" t="s">
        <v>131</v>
      </c>
      <c r="E92" s="15">
        <v>150000</v>
      </c>
    </row>
    <row r="93" spans="1:5" x14ac:dyDescent="0.25">
      <c r="A93" s="14">
        <v>83</v>
      </c>
      <c r="B93" s="18" t="s">
        <v>999</v>
      </c>
      <c r="C93" s="7" t="s">
        <v>1000</v>
      </c>
      <c r="D93" s="14" t="s">
        <v>131</v>
      </c>
      <c r="E93" s="15">
        <v>150000</v>
      </c>
    </row>
    <row r="94" spans="1:5" x14ac:dyDescent="0.25">
      <c r="A94" s="14"/>
      <c r="B94" s="18" t="s">
        <v>1033</v>
      </c>
      <c r="C94" s="7" t="s">
        <v>1034</v>
      </c>
      <c r="D94" s="14" t="s">
        <v>131</v>
      </c>
      <c r="E94" s="15">
        <v>150000</v>
      </c>
    </row>
    <row r="95" spans="1:5" x14ac:dyDescent="0.25">
      <c r="A95" s="14">
        <v>84</v>
      </c>
      <c r="B95" s="18" t="s">
        <v>725</v>
      </c>
      <c r="C95" s="7" t="s">
        <v>726</v>
      </c>
      <c r="D95" s="14" t="s">
        <v>131</v>
      </c>
      <c r="E95" s="15">
        <v>150000</v>
      </c>
    </row>
    <row r="96" spans="1:5" x14ac:dyDescent="0.25">
      <c r="A96" s="14">
        <v>85</v>
      </c>
      <c r="B96" s="18" t="s">
        <v>727</v>
      </c>
      <c r="C96" s="7" t="s">
        <v>728</v>
      </c>
      <c r="D96" s="14" t="s">
        <v>131</v>
      </c>
      <c r="E96" s="15">
        <v>150000</v>
      </c>
    </row>
    <row r="97" spans="1:5" x14ac:dyDescent="0.25">
      <c r="A97" s="14">
        <v>86</v>
      </c>
      <c r="B97" s="18" t="s">
        <v>729</v>
      </c>
      <c r="C97" s="7" t="s">
        <v>730</v>
      </c>
      <c r="D97" s="14" t="s">
        <v>131</v>
      </c>
      <c r="E97" s="15">
        <v>150000</v>
      </c>
    </row>
    <row r="98" spans="1:5" x14ac:dyDescent="0.25">
      <c r="A98" s="14"/>
      <c r="B98" s="18" t="s">
        <v>1071</v>
      </c>
      <c r="C98" s="7" t="s">
        <v>1072</v>
      </c>
      <c r="D98" s="14" t="s">
        <v>131</v>
      </c>
      <c r="E98" s="15">
        <v>150000</v>
      </c>
    </row>
    <row r="99" spans="1:5" x14ac:dyDescent="0.25">
      <c r="A99" s="14">
        <v>87</v>
      </c>
      <c r="B99" s="18" t="s">
        <v>731</v>
      </c>
      <c r="C99" s="7" t="s">
        <v>732</v>
      </c>
      <c r="D99" s="14" t="s">
        <v>131</v>
      </c>
      <c r="E99" s="15">
        <v>150000</v>
      </c>
    </row>
    <row r="100" spans="1:5" x14ac:dyDescent="0.25">
      <c r="A100" s="14"/>
      <c r="B100" s="18" t="s">
        <v>1063</v>
      </c>
      <c r="C100" s="7" t="s">
        <v>1064</v>
      </c>
      <c r="D100" s="14" t="s">
        <v>131</v>
      </c>
      <c r="E100" s="15">
        <v>150000</v>
      </c>
    </row>
    <row r="101" spans="1:5" x14ac:dyDescent="0.25">
      <c r="A101" s="14">
        <v>88</v>
      </c>
      <c r="B101" s="18" t="s">
        <v>733</v>
      </c>
      <c r="C101" s="7" t="s">
        <v>734</v>
      </c>
      <c r="D101" s="14" t="s">
        <v>131</v>
      </c>
      <c r="E101" s="15">
        <v>150000</v>
      </c>
    </row>
    <row r="102" spans="1:5" x14ac:dyDescent="0.25">
      <c r="A102" s="14">
        <v>88</v>
      </c>
      <c r="B102" s="18" t="s">
        <v>1099</v>
      </c>
      <c r="C102" s="7" t="s">
        <v>1100</v>
      </c>
      <c r="D102" s="14" t="s">
        <v>131</v>
      </c>
      <c r="E102" s="15">
        <v>150000</v>
      </c>
    </row>
    <row r="103" spans="1:5" x14ac:dyDescent="0.25">
      <c r="A103" s="14">
        <v>89</v>
      </c>
      <c r="B103" s="18" t="s">
        <v>735</v>
      </c>
      <c r="C103" s="7" t="s">
        <v>736</v>
      </c>
      <c r="D103" s="14" t="s">
        <v>131</v>
      </c>
      <c r="E103" s="15">
        <v>150000</v>
      </c>
    </row>
    <row r="104" spans="1:5" x14ac:dyDescent="0.25">
      <c r="A104" s="14">
        <v>90</v>
      </c>
      <c r="B104" s="18" t="s">
        <v>445</v>
      </c>
      <c r="C104" s="7" t="s">
        <v>446</v>
      </c>
      <c r="D104" s="14" t="s">
        <v>131</v>
      </c>
      <c r="E104" s="15">
        <v>150000</v>
      </c>
    </row>
    <row r="105" spans="1:5" x14ac:dyDescent="0.25">
      <c r="A105" s="14">
        <v>91</v>
      </c>
      <c r="B105" s="18" t="s">
        <v>647</v>
      </c>
      <c r="C105" s="7" t="s">
        <v>648</v>
      </c>
      <c r="D105" s="14" t="s">
        <v>131</v>
      </c>
      <c r="E105" s="15">
        <v>150000</v>
      </c>
    </row>
    <row r="106" spans="1:5" x14ac:dyDescent="0.25">
      <c r="A106" s="14"/>
      <c r="B106" s="18" t="s">
        <v>1218</v>
      </c>
      <c r="C106" s="7" t="s">
        <v>1219</v>
      </c>
      <c r="D106" s="14" t="s">
        <v>131</v>
      </c>
      <c r="E106" s="15">
        <v>150000</v>
      </c>
    </row>
    <row r="107" spans="1:5" x14ac:dyDescent="0.25">
      <c r="A107" s="14">
        <v>92</v>
      </c>
      <c r="B107" s="18" t="s">
        <v>996</v>
      </c>
      <c r="C107" s="7" t="s">
        <v>997</v>
      </c>
      <c r="D107" s="14" t="s">
        <v>131</v>
      </c>
      <c r="E107" s="15">
        <v>150000</v>
      </c>
    </row>
    <row r="108" spans="1:5" x14ac:dyDescent="0.25">
      <c r="A108" s="14">
        <v>93</v>
      </c>
      <c r="B108" s="18" t="s">
        <v>737</v>
      </c>
      <c r="C108" s="7" t="s">
        <v>738</v>
      </c>
      <c r="D108" s="14" t="s">
        <v>131</v>
      </c>
      <c r="E108" s="15">
        <v>150000</v>
      </c>
    </row>
    <row r="109" spans="1:5" x14ac:dyDescent="0.25">
      <c r="A109" s="14">
        <v>94</v>
      </c>
      <c r="B109" s="18" t="s">
        <v>739</v>
      </c>
      <c r="C109" s="7" t="s">
        <v>740</v>
      </c>
      <c r="D109" s="14" t="s">
        <v>131</v>
      </c>
      <c r="E109" s="15">
        <v>150000</v>
      </c>
    </row>
    <row r="110" spans="1:5" x14ac:dyDescent="0.25">
      <c r="A110" s="14">
        <v>95</v>
      </c>
      <c r="B110" s="18" t="s">
        <v>741</v>
      </c>
      <c r="C110" s="7" t="s">
        <v>742</v>
      </c>
      <c r="D110" s="14" t="s">
        <v>131</v>
      </c>
      <c r="E110" s="15">
        <v>150000</v>
      </c>
    </row>
    <row r="111" spans="1:5" x14ac:dyDescent="0.25">
      <c r="A111" s="14">
        <v>96</v>
      </c>
      <c r="B111" s="18" t="s">
        <v>743</v>
      </c>
      <c r="C111" s="7" t="s">
        <v>744</v>
      </c>
      <c r="D111" s="14" t="s">
        <v>131</v>
      </c>
      <c r="E111" s="15">
        <v>150000</v>
      </c>
    </row>
    <row r="112" spans="1:5" x14ac:dyDescent="0.25">
      <c r="A112" s="14">
        <v>97</v>
      </c>
      <c r="B112" s="18" t="s">
        <v>745</v>
      </c>
      <c r="C112" s="7" t="s">
        <v>641</v>
      </c>
      <c r="D112" s="14" t="s">
        <v>131</v>
      </c>
      <c r="E112" s="15">
        <v>150000</v>
      </c>
    </row>
    <row r="113" spans="1:5" x14ac:dyDescent="0.25">
      <c r="A113" s="14"/>
      <c r="B113" s="18" t="s">
        <v>1193</v>
      </c>
      <c r="C113" s="7" t="s">
        <v>1194</v>
      </c>
      <c r="D113" s="14" t="s">
        <v>131</v>
      </c>
      <c r="E113" s="15">
        <v>150000</v>
      </c>
    </row>
    <row r="114" spans="1:5" x14ac:dyDescent="0.25">
      <c r="A114" s="14">
        <v>98</v>
      </c>
      <c r="B114" s="18" t="s">
        <v>993</v>
      </c>
      <c r="C114" s="7" t="s">
        <v>994</v>
      </c>
      <c r="D114" s="14" t="s">
        <v>131</v>
      </c>
      <c r="E114" s="15">
        <v>150000</v>
      </c>
    </row>
    <row r="115" spans="1:5" x14ac:dyDescent="0.25">
      <c r="A115" s="14">
        <v>99</v>
      </c>
      <c r="B115" s="18" t="s">
        <v>491</v>
      </c>
      <c r="C115" s="7" t="s">
        <v>492</v>
      </c>
      <c r="D115" s="14" t="s">
        <v>131</v>
      </c>
      <c r="E115" s="15">
        <v>150000</v>
      </c>
    </row>
    <row r="116" spans="1:5" x14ac:dyDescent="0.25">
      <c r="A116" s="14">
        <v>99</v>
      </c>
      <c r="B116" s="18" t="s">
        <v>1007</v>
      </c>
      <c r="C116" s="7" t="s">
        <v>1008</v>
      </c>
      <c r="D116" s="14" t="s">
        <v>131</v>
      </c>
      <c r="E116" s="15">
        <v>150000</v>
      </c>
    </row>
    <row r="117" spans="1:5" x14ac:dyDescent="0.25">
      <c r="A117" s="14"/>
      <c r="B117" s="18" t="s">
        <v>1148</v>
      </c>
      <c r="C117" s="7" t="s">
        <v>1149</v>
      </c>
      <c r="D117" s="14" t="s">
        <v>131</v>
      </c>
      <c r="E117" s="15">
        <v>150000</v>
      </c>
    </row>
    <row r="118" spans="1:5" x14ac:dyDescent="0.25">
      <c r="A118" s="14">
        <v>100</v>
      </c>
      <c r="B118" s="18" t="s">
        <v>746</v>
      </c>
      <c r="C118" s="7" t="s">
        <v>747</v>
      </c>
      <c r="D118" s="14" t="s">
        <v>131</v>
      </c>
      <c r="E118" s="15">
        <v>150000</v>
      </c>
    </row>
    <row r="119" spans="1:5" x14ac:dyDescent="0.25">
      <c r="A119" s="14">
        <v>101</v>
      </c>
      <c r="B119" s="18" t="s">
        <v>655</v>
      </c>
      <c r="C119" s="7" t="s">
        <v>748</v>
      </c>
      <c r="D119" s="14" t="s">
        <v>131</v>
      </c>
      <c r="E119" s="15">
        <v>150000</v>
      </c>
    </row>
    <row r="120" spans="1:5" x14ac:dyDescent="0.25">
      <c r="A120" s="14">
        <v>102</v>
      </c>
      <c r="B120" s="18" t="s">
        <v>284</v>
      </c>
      <c r="C120" s="7" t="s">
        <v>286</v>
      </c>
      <c r="D120" s="14" t="s">
        <v>131</v>
      </c>
      <c r="E120" s="15">
        <v>150000</v>
      </c>
    </row>
    <row r="121" spans="1:5" x14ac:dyDescent="0.25">
      <c r="A121" s="14">
        <v>103</v>
      </c>
      <c r="B121" s="18" t="s">
        <v>532</v>
      </c>
      <c r="C121" s="7" t="s">
        <v>533</v>
      </c>
      <c r="D121" s="14" t="s">
        <v>131</v>
      </c>
      <c r="E121" s="15">
        <v>150000</v>
      </c>
    </row>
    <row r="122" spans="1:5" x14ac:dyDescent="0.25">
      <c r="A122" s="14"/>
      <c r="B122" s="18" t="s">
        <v>1023</v>
      </c>
      <c r="C122" s="7" t="s">
        <v>1024</v>
      </c>
      <c r="D122" s="14" t="s">
        <v>131</v>
      </c>
      <c r="E122" s="15">
        <v>150000</v>
      </c>
    </row>
    <row r="123" spans="1:5" x14ac:dyDescent="0.25">
      <c r="A123" s="14">
        <v>104</v>
      </c>
      <c r="B123" s="18" t="s">
        <v>749</v>
      </c>
      <c r="C123" s="7" t="s">
        <v>750</v>
      </c>
      <c r="D123" s="14" t="s">
        <v>131</v>
      </c>
      <c r="E123" s="15">
        <v>150000</v>
      </c>
    </row>
    <row r="124" spans="1:5" x14ac:dyDescent="0.25">
      <c r="A124" s="14">
        <v>105</v>
      </c>
      <c r="B124" s="18" t="s">
        <v>608</v>
      </c>
      <c r="C124" s="7" t="s">
        <v>609</v>
      </c>
      <c r="D124" s="14" t="s">
        <v>131</v>
      </c>
      <c r="E124" s="15">
        <v>150000</v>
      </c>
    </row>
    <row r="125" spans="1:5" x14ac:dyDescent="0.25">
      <c r="A125" s="14">
        <v>106</v>
      </c>
      <c r="B125" s="18" t="s">
        <v>283</v>
      </c>
      <c r="C125" s="7" t="s">
        <v>285</v>
      </c>
      <c r="D125" s="14" t="s">
        <v>131</v>
      </c>
      <c r="E125" s="15">
        <v>150000</v>
      </c>
    </row>
    <row r="126" spans="1:5" x14ac:dyDescent="0.25">
      <c r="A126" s="14">
        <v>107</v>
      </c>
      <c r="B126" s="18" t="s">
        <v>751</v>
      </c>
      <c r="C126" s="7" t="s">
        <v>752</v>
      </c>
      <c r="D126" s="14" t="s">
        <v>131</v>
      </c>
      <c r="E126" s="15">
        <v>150000</v>
      </c>
    </row>
    <row r="127" spans="1:5" x14ac:dyDescent="0.25">
      <c r="A127" s="14">
        <v>108</v>
      </c>
      <c r="B127" s="18" t="s">
        <v>650</v>
      </c>
      <c r="C127" s="7" t="s">
        <v>651</v>
      </c>
      <c r="D127" s="14" t="s">
        <v>131</v>
      </c>
      <c r="E127" s="15">
        <v>150000</v>
      </c>
    </row>
    <row r="128" spans="1:5" x14ac:dyDescent="0.25">
      <c r="A128" s="14"/>
      <c r="B128" s="18" t="s">
        <v>1009</v>
      </c>
      <c r="C128" s="7" t="s">
        <v>1010</v>
      </c>
      <c r="D128" s="14" t="s">
        <v>131</v>
      </c>
      <c r="E128" s="15">
        <v>150000</v>
      </c>
    </row>
    <row r="129" spans="1:5" x14ac:dyDescent="0.25">
      <c r="A129" s="14">
        <v>109</v>
      </c>
      <c r="B129" s="18" t="s">
        <v>497</v>
      </c>
      <c r="C129" s="7" t="s">
        <v>498</v>
      </c>
      <c r="D129" s="14" t="s">
        <v>131</v>
      </c>
      <c r="E129" s="15">
        <v>150000</v>
      </c>
    </row>
    <row r="130" spans="1:5" x14ac:dyDescent="0.25">
      <c r="A130" s="14">
        <v>110</v>
      </c>
      <c r="B130" s="18" t="s">
        <v>556</v>
      </c>
      <c r="C130" s="7" t="s">
        <v>557</v>
      </c>
      <c r="D130" s="14" t="s">
        <v>131</v>
      </c>
      <c r="E130" s="15">
        <v>150000</v>
      </c>
    </row>
    <row r="131" spans="1:5" x14ac:dyDescent="0.25">
      <c r="A131" s="14">
        <v>111</v>
      </c>
      <c r="B131" s="18" t="s">
        <v>753</v>
      </c>
      <c r="C131" s="7" t="s">
        <v>754</v>
      </c>
      <c r="D131" s="14" t="s">
        <v>131</v>
      </c>
      <c r="E131" s="15">
        <v>150000</v>
      </c>
    </row>
    <row r="132" spans="1:5" x14ac:dyDescent="0.25">
      <c r="A132" s="14"/>
      <c r="B132" s="18" t="s">
        <v>1195</v>
      </c>
      <c r="C132" s="7" t="s">
        <v>1196</v>
      </c>
      <c r="D132" s="14" t="s">
        <v>131</v>
      </c>
      <c r="E132" s="15">
        <v>150000</v>
      </c>
    </row>
    <row r="133" spans="1:5" x14ac:dyDescent="0.25">
      <c r="A133" s="14"/>
      <c r="B133" s="18" t="s">
        <v>1222</v>
      </c>
      <c r="C133" s="7" t="s">
        <v>1223</v>
      </c>
      <c r="D133" s="14" t="s">
        <v>131</v>
      </c>
      <c r="E133" s="15">
        <v>150000</v>
      </c>
    </row>
    <row r="134" spans="1:5" x14ac:dyDescent="0.25">
      <c r="A134" s="14"/>
      <c r="B134" s="18" t="s">
        <v>1113</v>
      </c>
      <c r="C134" s="7" t="s">
        <v>1114</v>
      </c>
      <c r="D134" s="14" t="s">
        <v>131</v>
      </c>
      <c r="E134" s="15">
        <v>150000</v>
      </c>
    </row>
    <row r="135" spans="1:5" x14ac:dyDescent="0.25">
      <c r="A135" s="14">
        <v>112</v>
      </c>
      <c r="B135" s="18" t="s">
        <v>459</v>
      </c>
      <c r="C135" s="7" t="s">
        <v>460</v>
      </c>
      <c r="D135" s="14" t="s">
        <v>131</v>
      </c>
      <c r="E135" s="15">
        <v>150000</v>
      </c>
    </row>
    <row r="136" spans="1:5" x14ac:dyDescent="0.25">
      <c r="A136" s="14"/>
      <c r="B136" s="18" t="s">
        <v>1019</v>
      </c>
      <c r="C136" s="7" t="s">
        <v>1020</v>
      </c>
      <c r="D136" s="14" t="s">
        <v>131</v>
      </c>
      <c r="E136" s="15">
        <v>150000</v>
      </c>
    </row>
    <row r="137" spans="1:5" x14ac:dyDescent="0.25">
      <c r="A137" s="14">
        <v>113</v>
      </c>
      <c r="B137" s="18" t="s">
        <v>352</v>
      </c>
      <c r="C137" s="7" t="s">
        <v>353</v>
      </c>
      <c r="D137" s="14" t="s">
        <v>131</v>
      </c>
      <c r="E137" s="15">
        <v>150000</v>
      </c>
    </row>
    <row r="138" spans="1:5" x14ac:dyDescent="0.25">
      <c r="A138" s="14">
        <v>114</v>
      </c>
      <c r="B138" s="18" t="s">
        <v>483</v>
      </c>
      <c r="C138" s="7" t="s">
        <v>484</v>
      </c>
      <c r="D138" s="14" t="s">
        <v>131</v>
      </c>
      <c r="E138" s="15">
        <v>150000</v>
      </c>
    </row>
    <row r="139" spans="1:5" x14ac:dyDescent="0.25">
      <c r="A139" s="14">
        <v>115</v>
      </c>
      <c r="B139" s="18" t="s">
        <v>606</v>
      </c>
      <c r="C139" s="7" t="s">
        <v>607</v>
      </c>
      <c r="D139" s="14" t="s">
        <v>131</v>
      </c>
      <c r="E139" s="15">
        <v>150000</v>
      </c>
    </row>
    <row r="140" spans="1:5" x14ac:dyDescent="0.25">
      <c r="A140" s="14"/>
      <c r="B140" s="18" t="s">
        <v>1163</v>
      </c>
      <c r="C140" s="7" t="s">
        <v>1164</v>
      </c>
      <c r="D140" s="14" t="s">
        <v>131</v>
      </c>
      <c r="E140" s="15">
        <v>150000</v>
      </c>
    </row>
    <row r="141" spans="1:5" x14ac:dyDescent="0.25">
      <c r="A141" s="14">
        <v>116</v>
      </c>
      <c r="B141" s="18" t="s">
        <v>616</v>
      </c>
      <c r="C141" s="7" t="s">
        <v>617</v>
      </c>
      <c r="D141" s="14" t="s">
        <v>131</v>
      </c>
      <c r="E141" s="15">
        <v>150000</v>
      </c>
    </row>
    <row r="142" spans="1:5" x14ac:dyDescent="0.25">
      <c r="A142" s="14">
        <v>117</v>
      </c>
      <c r="B142" s="18" t="s">
        <v>254</v>
      </c>
      <c r="C142" s="7" t="s">
        <v>255</v>
      </c>
      <c r="D142" s="14" t="s">
        <v>131</v>
      </c>
      <c r="E142" s="15">
        <v>150000</v>
      </c>
    </row>
    <row r="143" spans="1:5" x14ac:dyDescent="0.25">
      <c r="A143" s="14">
        <v>118</v>
      </c>
      <c r="B143" s="18" t="s">
        <v>755</v>
      </c>
      <c r="C143" s="7" t="s">
        <v>756</v>
      </c>
      <c r="D143" s="14" t="s">
        <v>131</v>
      </c>
      <c r="E143" s="15">
        <v>150000</v>
      </c>
    </row>
    <row r="144" spans="1:5" x14ac:dyDescent="0.25">
      <c r="A144" s="14">
        <v>119</v>
      </c>
      <c r="B144" s="18" t="s">
        <v>757</v>
      </c>
      <c r="C144" s="7" t="s">
        <v>758</v>
      </c>
      <c r="D144" s="14" t="s">
        <v>131</v>
      </c>
      <c r="E144" s="15">
        <v>150000</v>
      </c>
    </row>
    <row r="145" spans="1:5" x14ac:dyDescent="0.25">
      <c r="A145" s="14">
        <v>120</v>
      </c>
      <c r="B145" s="18" t="s">
        <v>530</v>
      </c>
      <c r="C145" s="7" t="s">
        <v>531</v>
      </c>
      <c r="D145" s="14" t="s">
        <v>131</v>
      </c>
      <c r="E145" s="15">
        <v>150000</v>
      </c>
    </row>
    <row r="146" spans="1:5" x14ac:dyDescent="0.25">
      <c r="A146" s="14">
        <v>121</v>
      </c>
      <c r="B146" s="18" t="s">
        <v>373</v>
      </c>
      <c r="C146" s="7" t="s">
        <v>374</v>
      </c>
      <c r="D146" s="14" t="s">
        <v>131</v>
      </c>
      <c r="E146" s="15">
        <v>150000</v>
      </c>
    </row>
    <row r="147" spans="1:5" x14ac:dyDescent="0.25">
      <c r="A147" s="14">
        <v>122</v>
      </c>
      <c r="B147" s="18" t="s">
        <v>759</v>
      </c>
      <c r="C147" s="7" t="s">
        <v>760</v>
      </c>
      <c r="D147" s="14" t="s">
        <v>131</v>
      </c>
      <c r="E147" s="15">
        <v>150000</v>
      </c>
    </row>
    <row r="148" spans="1:5" x14ac:dyDescent="0.25">
      <c r="A148" s="14">
        <v>123</v>
      </c>
      <c r="B148" s="18" t="s">
        <v>761</v>
      </c>
      <c r="C148" s="7" t="s">
        <v>762</v>
      </c>
      <c r="D148" s="14" t="s">
        <v>131</v>
      </c>
      <c r="E148" s="15">
        <v>150000</v>
      </c>
    </row>
    <row r="149" spans="1:5" x14ac:dyDescent="0.25">
      <c r="A149" s="14">
        <v>124</v>
      </c>
      <c r="B149" s="18" t="s">
        <v>763</v>
      </c>
      <c r="C149" s="7" t="s">
        <v>622</v>
      </c>
      <c r="D149" s="14" t="s">
        <v>131</v>
      </c>
      <c r="E149" s="15">
        <v>150000</v>
      </c>
    </row>
    <row r="150" spans="1:5" x14ac:dyDescent="0.25">
      <c r="A150" s="14">
        <v>125</v>
      </c>
      <c r="B150" s="18" t="s">
        <v>989</v>
      </c>
      <c r="C150" s="7" t="s">
        <v>990</v>
      </c>
      <c r="D150" s="14" t="s">
        <v>131</v>
      </c>
      <c r="E150" s="15">
        <v>150000</v>
      </c>
    </row>
    <row r="151" spans="1:5" x14ac:dyDescent="0.25">
      <c r="A151" s="14">
        <v>126</v>
      </c>
      <c r="B151" s="18" t="s">
        <v>764</v>
      </c>
      <c r="C151" s="7" t="s">
        <v>645</v>
      </c>
      <c r="D151" s="14" t="s">
        <v>131</v>
      </c>
      <c r="E151" s="15">
        <v>150000</v>
      </c>
    </row>
    <row r="152" spans="1:5" x14ac:dyDescent="0.25">
      <c r="A152" s="14">
        <v>127</v>
      </c>
      <c r="B152" s="18" t="s">
        <v>365</v>
      </c>
      <c r="C152" s="7" t="s">
        <v>366</v>
      </c>
      <c r="D152" s="14" t="s">
        <v>131</v>
      </c>
      <c r="E152" s="15">
        <v>150000</v>
      </c>
    </row>
    <row r="153" spans="1:5" x14ac:dyDescent="0.25">
      <c r="A153" s="14">
        <v>128</v>
      </c>
      <c r="B153" s="18" t="s">
        <v>765</v>
      </c>
      <c r="C153" s="7" t="s">
        <v>766</v>
      </c>
      <c r="D153" s="14" t="s">
        <v>131</v>
      </c>
      <c r="E153" s="15">
        <v>150000</v>
      </c>
    </row>
    <row r="154" spans="1:5" x14ac:dyDescent="0.25">
      <c r="A154" s="14">
        <v>129</v>
      </c>
      <c r="B154" s="18" t="s">
        <v>303</v>
      </c>
      <c r="C154" s="7" t="s">
        <v>304</v>
      </c>
      <c r="D154" s="14" t="s">
        <v>131</v>
      </c>
      <c r="E154" s="15">
        <v>150000</v>
      </c>
    </row>
    <row r="155" spans="1:5" x14ac:dyDescent="0.25">
      <c r="A155" s="14"/>
      <c r="B155" s="18" t="s">
        <v>1030</v>
      </c>
      <c r="C155" s="7" t="s">
        <v>1029</v>
      </c>
      <c r="D155" s="14" t="s">
        <v>131</v>
      </c>
      <c r="E155" s="15">
        <v>150000</v>
      </c>
    </row>
    <row r="156" spans="1:5" x14ac:dyDescent="0.25">
      <c r="A156" s="14">
        <v>130</v>
      </c>
      <c r="B156" s="18" t="s">
        <v>767</v>
      </c>
      <c r="C156" s="7" t="s">
        <v>768</v>
      </c>
      <c r="D156" s="14" t="s">
        <v>131</v>
      </c>
      <c r="E156" s="15">
        <v>150000</v>
      </c>
    </row>
    <row r="157" spans="1:5" x14ac:dyDescent="0.25">
      <c r="A157" s="14">
        <v>131</v>
      </c>
      <c r="B157" s="18" t="s">
        <v>769</v>
      </c>
      <c r="C157" s="7" t="s">
        <v>770</v>
      </c>
      <c r="D157" s="14" t="s">
        <v>131</v>
      </c>
      <c r="E157" s="15">
        <v>150000</v>
      </c>
    </row>
    <row r="158" spans="1:5" x14ac:dyDescent="0.25">
      <c r="A158" s="14"/>
      <c r="B158" s="18" t="s">
        <v>1017</v>
      </c>
      <c r="C158" s="7" t="s">
        <v>1018</v>
      </c>
      <c r="D158" s="14" t="s">
        <v>131</v>
      </c>
      <c r="E158" s="15">
        <v>150000</v>
      </c>
    </row>
    <row r="159" spans="1:5" x14ac:dyDescent="0.25">
      <c r="A159" s="14"/>
      <c r="B159" s="18" t="s">
        <v>1050</v>
      </c>
      <c r="C159" s="7" t="s">
        <v>1051</v>
      </c>
      <c r="D159" s="14" t="s">
        <v>131</v>
      </c>
      <c r="E159" s="15">
        <v>150000</v>
      </c>
    </row>
    <row r="160" spans="1:5" x14ac:dyDescent="0.25">
      <c r="A160" s="14">
        <v>132</v>
      </c>
      <c r="B160" s="18" t="s">
        <v>327</v>
      </c>
      <c r="C160" s="7" t="s">
        <v>328</v>
      </c>
      <c r="D160" s="14" t="s">
        <v>131</v>
      </c>
      <c r="E160" s="15">
        <v>150000</v>
      </c>
    </row>
    <row r="161" spans="1:5" x14ac:dyDescent="0.25">
      <c r="A161" s="14">
        <v>133</v>
      </c>
      <c r="B161" s="18" t="s">
        <v>771</v>
      </c>
      <c r="C161" s="7" t="s">
        <v>772</v>
      </c>
      <c r="D161" s="14" t="s">
        <v>131</v>
      </c>
      <c r="E161" s="15">
        <v>150000</v>
      </c>
    </row>
    <row r="162" spans="1:5" x14ac:dyDescent="0.25">
      <c r="A162" s="14"/>
      <c r="B162" s="18" t="s">
        <v>1111</v>
      </c>
      <c r="C162" s="7" t="s">
        <v>1112</v>
      </c>
      <c r="D162" s="14" t="s">
        <v>131</v>
      </c>
      <c r="E162" s="15">
        <v>150000</v>
      </c>
    </row>
    <row r="163" spans="1:5" x14ac:dyDescent="0.25">
      <c r="A163" s="14">
        <v>134</v>
      </c>
      <c r="B163" s="18" t="s">
        <v>773</v>
      </c>
      <c r="C163" s="7" t="s">
        <v>774</v>
      </c>
      <c r="D163" s="14" t="s">
        <v>131</v>
      </c>
      <c r="E163" s="15">
        <v>150000</v>
      </c>
    </row>
    <row r="164" spans="1:5" x14ac:dyDescent="0.25">
      <c r="A164" s="14">
        <v>135</v>
      </c>
      <c r="B164" s="18" t="s">
        <v>375</v>
      </c>
      <c r="C164" s="7" t="s">
        <v>376</v>
      </c>
      <c r="D164" s="14" t="s">
        <v>131</v>
      </c>
      <c r="E164" s="15">
        <v>150000</v>
      </c>
    </row>
    <row r="165" spans="1:5" x14ac:dyDescent="0.25">
      <c r="A165" s="14">
        <v>136</v>
      </c>
      <c r="B165" s="18" t="s">
        <v>610</v>
      </c>
      <c r="C165" s="7" t="s">
        <v>611</v>
      </c>
      <c r="D165" s="14" t="s">
        <v>131</v>
      </c>
      <c r="E165" s="15">
        <v>150000</v>
      </c>
    </row>
    <row r="166" spans="1:5" x14ac:dyDescent="0.25">
      <c r="A166" s="14">
        <v>137</v>
      </c>
      <c r="B166" s="18" t="s">
        <v>775</v>
      </c>
      <c r="C166" s="7" t="s">
        <v>776</v>
      </c>
      <c r="D166" s="14" t="s">
        <v>131</v>
      </c>
      <c r="E166" s="15">
        <v>150000</v>
      </c>
    </row>
    <row r="167" spans="1:5" x14ac:dyDescent="0.25">
      <c r="A167" s="14">
        <v>138</v>
      </c>
      <c r="B167" s="18" t="s">
        <v>777</v>
      </c>
      <c r="C167" s="7" t="s">
        <v>778</v>
      </c>
      <c r="D167" s="14" t="s">
        <v>131</v>
      </c>
      <c r="E167" s="15">
        <v>150000</v>
      </c>
    </row>
    <row r="168" spans="1:5" x14ac:dyDescent="0.25">
      <c r="A168" s="14">
        <v>139</v>
      </c>
      <c r="B168" s="18" t="s">
        <v>450</v>
      </c>
      <c r="C168" s="7" t="s">
        <v>453</v>
      </c>
      <c r="D168" s="14" t="s">
        <v>131</v>
      </c>
      <c r="E168" s="15">
        <v>150000</v>
      </c>
    </row>
    <row r="169" spans="1:5" x14ac:dyDescent="0.25">
      <c r="A169" s="14">
        <v>140</v>
      </c>
      <c r="B169" s="18" t="s">
        <v>258</v>
      </c>
      <c r="C169" s="7" t="s">
        <v>259</v>
      </c>
      <c r="D169" s="14" t="s">
        <v>131</v>
      </c>
      <c r="E169" s="15">
        <v>150000</v>
      </c>
    </row>
    <row r="170" spans="1:5" x14ac:dyDescent="0.25">
      <c r="A170" s="14"/>
      <c r="B170" s="18" t="s">
        <v>1073</v>
      </c>
      <c r="C170" s="7" t="s">
        <v>1074</v>
      </c>
      <c r="D170" s="14" t="s">
        <v>131</v>
      </c>
      <c r="E170" s="15">
        <v>150000</v>
      </c>
    </row>
    <row r="171" spans="1:5" x14ac:dyDescent="0.25">
      <c r="A171" s="14">
        <v>141</v>
      </c>
      <c r="B171" s="18" t="s">
        <v>779</v>
      </c>
      <c r="C171" s="7" t="s">
        <v>780</v>
      </c>
      <c r="D171" s="14" t="s">
        <v>131</v>
      </c>
      <c r="E171" s="15">
        <v>150000</v>
      </c>
    </row>
    <row r="172" spans="1:5" x14ac:dyDescent="0.25">
      <c r="A172" s="14"/>
      <c r="B172" s="18" t="s">
        <v>1056</v>
      </c>
      <c r="C172" s="7" t="s">
        <v>1057</v>
      </c>
      <c r="D172" s="14" t="s">
        <v>131</v>
      </c>
      <c r="E172" s="15">
        <v>150000</v>
      </c>
    </row>
    <row r="173" spans="1:5" x14ac:dyDescent="0.25">
      <c r="A173" s="14"/>
      <c r="B173" s="18" t="s">
        <v>1103</v>
      </c>
      <c r="C173" s="7" t="s">
        <v>1104</v>
      </c>
      <c r="D173" s="14" t="s">
        <v>131</v>
      </c>
      <c r="E173" s="15">
        <v>150000</v>
      </c>
    </row>
    <row r="174" spans="1:5" x14ac:dyDescent="0.25">
      <c r="A174" s="14">
        <v>142</v>
      </c>
      <c r="B174" s="18" t="s">
        <v>311</v>
      </c>
      <c r="C174" s="7" t="s">
        <v>312</v>
      </c>
      <c r="D174" s="14" t="s">
        <v>131</v>
      </c>
      <c r="E174" s="15">
        <v>150000</v>
      </c>
    </row>
    <row r="175" spans="1:5" x14ac:dyDescent="0.25">
      <c r="A175" s="14">
        <v>143</v>
      </c>
      <c r="B175" s="18" t="s">
        <v>781</v>
      </c>
      <c r="C175" s="7" t="s">
        <v>782</v>
      </c>
      <c r="D175" s="14" t="s">
        <v>131</v>
      </c>
      <c r="E175" s="15">
        <v>150000</v>
      </c>
    </row>
    <row r="176" spans="1:5" x14ac:dyDescent="0.25">
      <c r="A176" s="14">
        <v>144</v>
      </c>
      <c r="B176" s="18" t="s">
        <v>783</v>
      </c>
      <c r="C176" s="7" t="s">
        <v>784</v>
      </c>
      <c r="D176" s="14" t="s">
        <v>131</v>
      </c>
      <c r="E176" s="15">
        <v>150000</v>
      </c>
    </row>
    <row r="177" spans="1:5" x14ac:dyDescent="0.25">
      <c r="A177" s="14"/>
      <c r="B177" s="18" t="s">
        <v>1161</v>
      </c>
      <c r="C177" s="7" t="s">
        <v>1162</v>
      </c>
      <c r="D177" s="14" t="s">
        <v>131</v>
      </c>
      <c r="E177" s="15">
        <v>150000</v>
      </c>
    </row>
    <row r="178" spans="1:5" x14ac:dyDescent="0.25">
      <c r="A178" s="14">
        <v>145</v>
      </c>
      <c r="B178" s="18" t="s">
        <v>785</v>
      </c>
      <c r="C178" s="7" t="s">
        <v>786</v>
      </c>
      <c r="D178" s="14" t="s">
        <v>131</v>
      </c>
      <c r="E178" s="15">
        <v>150000</v>
      </c>
    </row>
    <row r="179" spans="1:5" x14ac:dyDescent="0.25">
      <c r="A179" s="14"/>
      <c r="B179" s="18" t="s">
        <v>1159</v>
      </c>
      <c r="C179" s="7" t="s">
        <v>1160</v>
      </c>
      <c r="D179" s="14" t="s">
        <v>131</v>
      </c>
      <c r="E179" s="15">
        <v>150000</v>
      </c>
    </row>
    <row r="180" spans="1:5" x14ac:dyDescent="0.25">
      <c r="A180" s="14"/>
      <c r="B180" s="18" t="s">
        <v>1094</v>
      </c>
      <c r="C180" s="7" t="s">
        <v>1095</v>
      </c>
      <c r="D180" s="14" t="s">
        <v>131</v>
      </c>
      <c r="E180" s="15">
        <v>150000</v>
      </c>
    </row>
    <row r="181" spans="1:5" x14ac:dyDescent="0.25">
      <c r="A181" s="14">
        <v>146</v>
      </c>
      <c r="B181" s="18" t="s">
        <v>787</v>
      </c>
      <c r="C181" s="7" t="s">
        <v>788</v>
      </c>
      <c r="D181" s="14" t="s">
        <v>131</v>
      </c>
      <c r="E181" s="15">
        <v>150000</v>
      </c>
    </row>
    <row r="182" spans="1:5" x14ac:dyDescent="0.25">
      <c r="A182" s="14">
        <v>147</v>
      </c>
      <c r="B182" s="18" t="s">
        <v>789</v>
      </c>
      <c r="C182" s="7" t="s">
        <v>790</v>
      </c>
      <c r="D182" s="14" t="s">
        <v>131</v>
      </c>
      <c r="E182" s="15">
        <v>150000</v>
      </c>
    </row>
    <row r="183" spans="1:5" x14ac:dyDescent="0.25">
      <c r="A183" s="14">
        <v>148</v>
      </c>
      <c r="B183" s="18" t="s">
        <v>640</v>
      </c>
      <c r="C183" s="7" t="s">
        <v>791</v>
      </c>
      <c r="D183" s="14" t="s">
        <v>131</v>
      </c>
      <c r="E183" s="15">
        <v>150000</v>
      </c>
    </row>
    <row r="184" spans="1:5" x14ac:dyDescent="0.25">
      <c r="A184" s="14">
        <v>149</v>
      </c>
      <c r="B184" s="18" t="s">
        <v>792</v>
      </c>
      <c r="C184" s="7" t="s">
        <v>793</v>
      </c>
      <c r="D184" s="14" t="s">
        <v>131</v>
      </c>
      <c r="E184" s="15">
        <v>150000</v>
      </c>
    </row>
    <row r="185" spans="1:5" x14ac:dyDescent="0.25">
      <c r="A185" s="14">
        <v>150</v>
      </c>
      <c r="B185" s="18" t="s">
        <v>629</v>
      </c>
      <c r="C185" s="7" t="s">
        <v>794</v>
      </c>
      <c r="D185" s="14" t="s">
        <v>131</v>
      </c>
      <c r="E185" s="15">
        <v>150000</v>
      </c>
    </row>
    <row r="186" spans="1:5" x14ac:dyDescent="0.25">
      <c r="A186" s="14">
        <v>151</v>
      </c>
      <c r="B186" s="18" t="s">
        <v>219</v>
      </c>
      <c r="C186" s="7" t="s">
        <v>220</v>
      </c>
      <c r="D186" s="14" t="s">
        <v>131</v>
      </c>
      <c r="E186" s="15">
        <v>150000</v>
      </c>
    </row>
    <row r="187" spans="1:5" x14ac:dyDescent="0.25">
      <c r="A187" s="14">
        <v>152</v>
      </c>
      <c r="B187" s="18" t="s">
        <v>354</v>
      </c>
      <c r="C187" s="7" t="s">
        <v>355</v>
      </c>
      <c r="D187" s="14" t="s">
        <v>131</v>
      </c>
      <c r="E187" s="15">
        <v>150000</v>
      </c>
    </row>
    <row r="188" spans="1:5" x14ac:dyDescent="0.25">
      <c r="A188" s="14">
        <v>153</v>
      </c>
      <c r="B188" s="18" t="s">
        <v>360</v>
      </c>
      <c r="C188" s="7" t="s">
        <v>361</v>
      </c>
      <c r="D188" s="14" t="s">
        <v>131</v>
      </c>
      <c r="E188" s="15">
        <v>150000</v>
      </c>
    </row>
    <row r="189" spans="1:5" x14ac:dyDescent="0.25">
      <c r="A189" s="14"/>
      <c r="B189" s="18" t="s">
        <v>1115</v>
      </c>
      <c r="C189" s="7" t="s">
        <v>1116</v>
      </c>
      <c r="D189" s="14" t="s">
        <v>131</v>
      </c>
      <c r="E189" s="15">
        <v>150000</v>
      </c>
    </row>
    <row r="190" spans="1:5" x14ac:dyDescent="0.25">
      <c r="A190" s="14">
        <v>154</v>
      </c>
      <c r="B190" s="18" t="s">
        <v>209</v>
      </c>
      <c r="C190" s="7" t="s">
        <v>210</v>
      </c>
      <c r="D190" s="14" t="s">
        <v>131</v>
      </c>
      <c r="E190" s="15">
        <v>150000</v>
      </c>
    </row>
    <row r="191" spans="1:5" x14ac:dyDescent="0.25">
      <c r="A191" s="14">
        <v>155</v>
      </c>
      <c r="B191" s="18" t="s">
        <v>299</v>
      </c>
      <c r="C191" s="7" t="s">
        <v>300</v>
      </c>
      <c r="D191" s="14" t="s">
        <v>131</v>
      </c>
      <c r="E191" s="15">
        <v>150000</v>
      </c>
    </row>
    <row r="192" spans="1:5" x14ac:dyDescent="0.25">
      <c r="A192" s="14">
        <v>156</v>
      </c>
      <c r="B192" s="18" t="s">
        <v>206</v>
      </c>
      <c r="C192" s="7" t="s">
        <v>207</v>
      </c>
      <c r="D192" s="14" t="s">
        <v>131</v>
      </c>
      <c r="E192" s="15">
        <v>150000</v>
      </c>
    </row>
    <row r="193" spans="1:5" x14ac:dyDescent="0.25">
      <c r="A193" s="14">
        <v>157</v>
      </c>
      <c r="B193" s="18" t="s">
        <v>329</v>
      </c>
      <c r="C193" s="7" t="s">
        <v>330</v>
      </c>
      <c r="D193" s="14" t="s">
        <v>131</v>
      </c>
      <c r="E193" s="15">
        <v>150000</v>
      </c>
    </row>
    <row r="194" spans="1:5" x14ac:dyDescent="0.25">
      <c r="A194" s="14"/>
      <c r="B194" s="18" t="s">
        <v>1165</v>
      </c>
      <c r="C194" s="7" t="s">
        <v>1166</v>
      </c>
      <c r="D194" s="14" t="s">
        <v>131</v>
      </c>
      <c r="E194" s="15">
        <v>150000</v>
      </c>
    </row>
    <row r="195" spans="1:5" x14ac:dyDescent="0.25">
      <c r="A195" s="14"/>
      <c r="B195" s="18" t="s">
        <v>1189</v>
      </c>
      <c r="C195" s="7" t="s">
        <v>1190</v>
      </c>
      <c r="D195" s="14" t="s">
        <v>131</v>
      </c>
      <c r="E195" s="15">
        <v>150000</v>
      </c>
    </row>
    <row r="196" spans="1:5" x14ac:dyDescent="0.25">
      <c r="A196" s="14">
        <v>158</v>
      </c>
      <c r="B196" s="18" t="s">
        <v>795</v>
      </c>
      <c r="C196" s="7" t="s">
        <v>796</v>
      </c>
      <c r="D196" s="14" t="s">
        <v>131</v>
      </c>
      <c r="E196" s="15">
        <v>150000</v>
      </c>
    </row>
    <row r="197" spans="1:5" x14ac:dyDescent="0.25">
      <c r="A197" s="14">
        <v>159</v>
      </c>
      <c r="B197" s="18" t="s">
        <v>369</v>
      </c>
      <c r="C197" s="7" t="s">
        <v>370</v>
      </c>
      <c r="D197" s="14" t="s">
        <v>131</v>
      </c>
      <c r="E197" s="15">
        <v>150000</v>
      </c>
    </row>
    <row r="198" spans="1:5" x14ac:dyDescent="0.25">
      <c r="A198" s="14">
        <v>160</v>
      </c>
      <c r="B198" s="18" t="s">
        <v>1001</v>
      </c>
      <c r="C198" s="7" t="s">
        <v>1002</v>
      </c>
      <c r="D198" s="14" t="s">
        <v>131</v>
      </c>
      <c r="E198" s="15">
        <v>150000</v>
      </c>
    </row>
    <row r="199" spans="1:5" x14ac:dyDescent="0.25">
      <c r="A199" s="14">
        <v>161</v>
      </c>
      <c r="B199" s="18" t="s">
        <v>618</v>
      </c>
      <c r="C199" s="7" t="s">
        <v>619</v>
      </c>
      <c r="D199" s="14" t="s">
        <v>131</v>
      </c>
      <c r="E199" s="15">
        <v>150000</v>
      </c>
    </row>
    <row r="200" spans="1:5" x14ac:dyDescent="0.25">
      <c r="A200" s="14"/>
      <c r="B200" s="18" t="s">
        <v>1039</v>
      </c>
      <c r="C200" s="7" t="s">
        <v>1040</v>
      </c>
      <c r="D200" s="14" t="s">
        <v>131</v>
      </c>
      <c r="E200" s="15">
        <v>150000</v>
      </c>
    </row>
    <row r="201" spans="1:5" x14ac:dyDescent="0.25">
      <c r="A201" s="14">
        <v>162</v>
      </c>
      <c r="B201" s="18" t="s">
        <v>423</v>
      </c>
      <c r="C201" s="7" t="s">
        <v>424</v>
      </c>
      <c r="D201" s="14" t="s">
        <v>131</v>
      </c>
      <c r="E201" s="15">
        <v>150000</v>
      </c>
    </row>
    <row r="202" spans="1:5" x14ac:dyDescent="0.25">
      <c r="A202" s="14">
        <v>163</v>
      </c>
      <c r="B202" s="18" t="s">
        <v>419</v>
      </c>
      <c r="C202" s="7" t="s">
        <v>420</v>
      </c>
      <c r="D202" s="14" t="s">
        <v>131</v>
      </c>
      <c r="E202" s="15">
        <v>150000</v>
      </c>
    </row>
    <row r="203" spans="1:5" x14ac:dyDescent="0.25">
      <c r="A203" s="14">
        <v>164</v>
      </c>
      <c r="B203" s="18" t="s">
        <v>397</v>
      </c>
      <c r="C203" s="7" t="s">
        <v>398</v>
      </c>
      <c r="D203" s="14" t="s">
        <v>131</v>
      </c>
      <c r="E203" s="15">
        <v>150000</v>
      </c>
    </row>
    <row r="204" spans="1:5" x14ac:dyDescent="0.25">
      <c r="A204" s="14">
        <v>165</v>
      </c>
      <c r="B204" s="18" t="s">
        <v>797</v>
      </c>
      <c r="C204" s="7" t="s">
        <v>798</v>
      </c>
      <c r="D204" s="14" t="s">
        <v>131</v>
      </c>
      <c r="E204" s="15">
        <v>150000</v>
      </c>
    </row>
    <row r="205" spans="1:5" x14ac:dyDescent="0.25">
      <c r="A205" s="14">
        <v>166</v>
      </c>
      <c r="B205" s="18" t="s">
        <v>799</v>
      </c>
      <c r="C205" s="7" t="s">
        <v>800</v>
      </c>
      <c r="D205" s="14" t="s">
        <v>131</v>
      </c>
      <c r="E205" s="15">
        <v>150000</v>
      </c>
    </row>
    <row r="206" spans="1:5" x14ac:dyDescent="0.25">
      <c r="A206" s="14">
        <v>167</v>
      </c>
      <c r="B206" s="18" t="s">
        <v>367</v>
      </c>
      <c r="C206" s="7" t="s">
        <v>368</v>
      </c>
      <c r="D206" s="14" t="s">
        <v>131</v>
      </c>
      <c r="E206" s="15">
        <v>150000</v>
      </c>
    </row>
    <row r="207" spans="1:5" x14ac:dyDescent="0.25">
      <c r="A207" s="14"/>
      <c r="B207" s="18" t="s">
        <v>1121</v>
      </c>
      <c r="C207" s="7" t="s">
        <v>1122</v>
      </c>
      <c r="D207" s="14" t="s">
        <v>131</v>
      </c>
      <c r="E207" s="15">
        <v>150000</v>
      </c>
    </row>
    <row r="208" spans="1:5" x14ac:dyDescent="0.25">
      <c r="A208" s="14">
        <v>168</v>
      </c>
      <c r="B208" s="18" t="s">
        <v>801</v>
      </c>
      <c r="C208" s="7" t="s">
        <v>802</v>
      </c>
      <c r="D208" s="14" t="s">
        <v>131</v>
      </c>
      <c r="E208" s="15">
        <v>150000</v>
      </c>
    </row>
    <row r="209" spans="1:5" x14ac:dyDescent="0.25">
      <c r="A209" s="14">
        <v>169</v>
      </c>
      <c r="B209" s="18" t="s">
        <v>479</v>
      </c>
      <c r="C209" s="7" t="s">
        <v>480</v>
      </c>
      <c r="D209" s="14" t="s">
        <v>131</v>
      </c>
      <c r="E209" s="15">
        <v>150000</v>
      </c>
    </row>
    <row r="210" spans="1:5" x14ac:dyDescent="0.25">
      <c r="A210" s="14">
        <v>170</v>
      </c>
      <c r="B210" s="18" t="s">
        <v>803</v>
      </c>
      <c r="C210" s="7" t="s">
        <v>804</v>
      </c>
      <c r="D210" s="14" t="s">
        <v>131</v>
      </c>
      <c r="E210" s="15">
        <v>150000</v>
      </c>
    </row>
    <row r="211" spans="1:5" x14ac:dyDescent="0.25">
      <c r="A211" s="14">
        <v>171</v>
      </c>
      <c r="B211" s="18" t="s">
        <v>566</v>
      </c>
      <c r="C211" s="7" t="s">
        <v>567</v>
      </c>
      <c r="D211" s="14" t="s">
        <v>131</v>
      </c>
      <c r="E211" s="15">
        <v>150000</v>
      </c>
    </row>
    <row r="212" spans="1:5" x14ac:dyDescent="0.25">
      <c r="A212" s="14"/>
      <c r="B212" s="18" t="s">
        <v>1126</v>
      </c>
      <c r="C212" s="7" t="s">
        <v>1127</v>
      </c>
      <c r="D212" s="14" t="s">
        <v>131</v>
      </c>
      <c r="E212" s="15">
        <v>150000</v>
      </c>
    </row>
    <row r="213" spans="1:5" x14ac:dyDescent="0.25">
      <c r="A213" s="14"/>
      <c r="B213" s="18" t="s">
        <v>1181</v>
      </c>
      <c r="C213" s="7" t="s">
        <v>1182</v>
      </c>
      <c r="D213" s="14" t="s">
        <v>131</v>
      </c>
      <c r="E213" s="15">
        <v>150000</v>
      </c>
    </row>
    <row r="214" spans="1:5" x14ac:dyDescent="0.25">
      <c r="A214" s="14"/>
      <c r="B214" s="18" t="s">
        <v>1117</v>
      </c>
      <c r="C214" s="7" t="s">
        <v>1118</v>
      </c>
      <c r="D214" s="14" t="s">
        <v>131</v>
      </c>
      <c r="E214" s="15">
        <v>150000</v>
      </c>
    </row>
    <row r="215" spans="1:5" x14ac:dyDescent="0.25">
      <c r="A215" s="14">
        <v>172</v>
      </c>
      <c r="B215" s="18" t="s">
        <v>449</v>
      </c>
      <c r="C215" s="7" t="s">
        <v>452</v>
      </c>
      <c r="D215" s="14" t="s">
        <v>131</v>
      </c>
      <c r="E215" s="15">
        <v>150000</v>
      </c>
    </row>
    <row r="216" spans="1:5" x14ac:dyDescent="0.25">
      <c r="A216" s="14">
        <v>173</v>
      </c>
      <c r="B216" s="18" t="s">
        <v>481</v>
      </c>
      <c r="C216" s="7" t="s">
        <v>482</v>
      </c>
      <c r="D216" s="14" t="s">
        <v>131</v>
      </c>
      <c r="E216" s="15">
        <v>150000</v>
      </c>
    </row>
    <row r="217" spans="1:5" x14ac:dyDescent="0.25">
      <c r="A217" s="14">
        <v>174</v>
      </c>
      <c r="B217" s="18" t="s">
        <v>293</v>
      </c>
      <c r="C217" s="7" t="s">
        <v>294</v>
      </c>
      <c r="D217" s="14" t="s">
        <v>131</v>
      </c>
      <c r="E217" s="15">
        <v>150000</v>
      </c>
    </row>
    <row r="218" spans="1:5" x14ac:dyDescent="0.25">
      <c r="A218" s="14"/>
      <c r="B218" s="18" t="s">
        <v>1183</v>
      </c>
      <c r="C218" s="7" t="s">
        <v>1184</v>
      </c>
      <c r="D218" s="14" t="s">
        <v>131</v>
      </c>
      <c r="E218" s="15">
        <v>150000</v>
      </c>
    </row>
    <row r="219" spans="1:5" x14ac:dyDescent="0.25">
      <c r="A219" s="14">
        <v>175</v>
      </c>
      <c r="B219" s="18" t="s">
        <v>451</v>
      </c>
      <c r="C219" s="7" t="s">
        <v>454</v>
      </c>
      <c r="D219" s="14" t="s">
        <v>131</v>
      </c>
      <c r="E219" s="15">
        <v>150000</v>
      </c>
    </row>
    <row r="220" spans="1:5" x14ac:dyDescent="0.25">
      <c r="A220" s="14">
        <v>176</v>
      </c>
      <c r="B220" s="18" t="s">
        <v>805</v>
      </c>
      <c r="C220" s="7" t="s">
        <v>806</v>
      </c>
      <c r="D220" s="14" t="s">
        <v>131</v>
      </c>
      <c r="E220" s="15">
        <v>150000</v>
      </c>
    </row>
    <row r="221" spans="1:5" x14ac:dyDescent="0.25">
      <c r="A221" s="14"/>
      <c r="B221" s="18" t="s">
        <v>1037</v>
      </c>
      <c r="C221" s="7" t="s">
        <v>1038</v>
      </c>
      <c r="D221" s="14" t="s">
        <v>131</v>
      </c>
      <c r="E221" s="15">
        <v>150000</v>
      </c>
    </row>
    <row r="222" spans="1:5" x14ac:dyDescent="0.25">
      <c r="A222" s="14">
        <v>177</v>
      </c>
      <c r="B222" s="18" t="s">
        <v>807</v>
      </c>
      <c r="C222" s="7" t="s">
        <v>808</v>
      </c>
      <c r="D222" s="14" t="s">
        <v>131</v>
      </c>
      <c r="E222" s="15">
        <v>150000</v>
      </c>
    </row>
    <row r="223" spans="1:5" x14ac:dyDescent="0.25">
      <c r="A223" s="14">
        <v>178</v>
      </c>
      <c r="B223" s="18" t="s">
        <v>217</v>
      </c>
      <c r="C223" s="7" t="s">
        <v>218</v>
      </c>
      <c r="D223" s="14" t="s">
        <v>131</v>
      </c>
      <c r="E223" s="15">
        <v>150000</v>
      </c>
    </row>
    <row r="224" spans="1:5" x14ac:dyDescent="0.25">
      <c r="A224" s="14"/>
      <c r="B224" s="18" t="s">
        <v>1144</v>
      </c>
      <c r="C224" s="7" t="s">
        <v>1145</v>
      </c>
      <c r="D224" s="14" t="s">
        <v>131</v>
      </c>
      <c r="E224" s="15">
        <v>150000</v>
      </c>
    </row>
    <row r="225" spans="1:5" x14ac:dyDescent="0.25">
      <c r="A225" s="14">
        <v>179</v>
      </c>
      <c r="B225" s="18" t="s">
        <v>321</v>
      </c>
      <c r="C225" s="7" t="s">
        <v>197</v>
      </c>
      <c r="D225" s="14" t="s">
        <v>131</v>
      </c>
      <c r="E225" s="15">
        <v>150000</v>
      </c>
    </row>
    <row r="226" spans="1:5" x14ac:dyDescent="0.25">
      <c r="A226" s="14">
        <v>180</v>
      </c>
      <c r="B226" s="18" t="s">
        <v>403</v>
      </c>
      <c r="C226" s="7" t="s">
        <v>404</v>
      </c>
      <c r="D226" s="14" t="s">
        <v>131</v>
      </c>
      <c r="E226" s="15">
        <v>150000</v>
      </c>
    </row>
    <row r="227" spans="1:5" x14ac:dyDescent="0.25">
      <c r="A227" s="14">
        <v>181</v>
      </c>
      <c r="B227" s="18" t="s">
        <v>421</v>
      </c>
      <c r="C227" s="7" t="s">
        <v>422</v>
      </c>
      <c r="D227" s="14" t="s">
        <v>131</v>
      </c>
      <c r="E227" s="15">
        <v>150000</v>
      </c>
    </row>
    <row r="228" spans="1:5" x14ac:dyDescent="0.25">
      <c r="A228" s="14">
        <v>182</v>
      </c>
      <c r="B228" s="18" t="s">
        <v>809</v>
      </c>
      <c r="C228" s="7" t="s">
        <v>810</v>
      </c>
      <c r="D228" s="14" t="s">
        <v>131</v>
      </c>
      <c r="E228" s="15">
        <v>150000</v>
      </c>
    </row>
    <row r="229" spans="1:5" x14ac:dyDescent="0.25">
      <c r="A229" s="14">
        <v>183</v>
      </c>
      <c r="B229" s="18" t="s">
        <v>347</v>
      </c>
      <c r="C229" s="7" t="s">
        <v>348</v>
      </c>
      <c r="D229" s="14" t="s">
        <v>131</v>
      </c>
      <c r="E229" s="15">
        <v>150000</v>
      </c>
    </row>
    <row r="230" spans="1:5" x14ac:dyDescent="0.25">
      <c r="A230" s="14">
        <v>184</v>
      </c>
      <c r="B230" s="18" t="s">
        <v>331</v>
      </c>
      <c r="C230" s="7" t="s">
        <v>332</v>
      </c>
      <c r="D230" s="14" t="s">
        <v>131</v>
      </c>
      <c r="E230" s="15">
        <v>150000</v>
      </c>
    </row>
    <row r="231" spans="1:5" x14ac:dyDescent="0.25">
      <c r="A231" s="14">
        <v>185</v>
      </c>
      <c r="B231" s="18" t="s">
        <v>407</v>
      </c>
      <c r="C231" s="7" t="s">
        <v>408</v>
      </c>
      <c r="D231" s="14" t="s">
        <v>131</v>
      </c>
      <c r="E231" s="15">
        <v>150000</v>
      </c>
    </row>
    <row r="232" spans="1:5" x14ac:dyDescent="0.25">
      <c r="A232" s="14">
        <v>186</v>
      </c>
      <c r="B232" s="18" t="s">
        <v>208</v>
      </c>
      <c r="C232" s="7" t="s">
        <v>211</v>
      </c>
      <c r="D232" s="14" t="s">
        <v>131</v>
      </c>
      <c r="E232" s="15">
        <v>150000</v>
      </c>
    </row>
    <row r="233" spans="1:5" x14ac:dyDescent="0.25">
      <c r="A233" s="14">
        <v>187</v>
      </c>
      <c r="B233" s="18" t="s">
        <v>291</v>
      </c>
      <c r="C233" s="7" t="s">
        <v>292</v>
      </c>
      <c r="D233" s="14" t="s">
        <v>131</v>
      </c>
      <c r="E233" s="15">
        <v>150000</v>
      </c>
    </row>
    <row r="234" spans="1:5" x14ac:dyDescent="0.25">
      <c r="A234" s="14">
        <v>188</v>
      </c>
      <c r="B234" s="18" t="s">
        <v>811</v>
      </c>
      <c r="C234" s="7" t="s">
        <v>812</v>
      </c>
      <c r="D234" s="14" t="s">
        <v>131</v>
      </c>
      <c r="E234" s="15">
        <v>150000</v>
      </c>
    </row>
    <row r="235" spans="1:5" x14ac:dyDescent="0.25">
      <c r="A235" s="14"/>
      <c r="B235" s="18" t="s">
        <v>1096</v>
      </c>
      <c r="C235" s="7" t="s">
        <v>1097</v>
      </c>
      <c r="D235" s="14" t="s">
        <v>131</v>
      </c>
      <c r="E235" s="15">
        <v>150000</v>
      </c>
    </row>
    <row r="236" spans="1:5" x14ac:dyDescent="0.25">
      <c r="A236" s="14">
        <v>189</v>
      </c>
      <c r="B236" s="18" t="s">
        <v>234</v>
      </c>
      <c r="C236" s="7" t="s">
        <v>235</v>
      </c>
      <c r="D236" s="14" t="s">
        <v>131</v>
      </c>
      <c r="E236" s="15">
        <v>150000</v>
      </c>
    </row>
    <row r="237" spans="1:5" x14ac:dyDescent="0.25">
      <c r="A237" s="14">
        <v>190</v>
      </c>
      <c r="B237" s="18" t="s">
        <v>813</v>
      </c>
      <c r="C237" s="7" t="s">
        <v>814</v>
      </c>
      <c r="D237" s="14" t="s">
        <v>131</v>
      </c>
      <c r="E237" s="15">
        <v>150000</v>
      </c>
    </row>
    <row r="238" spans="1:5" x14ac:dyDescent="0.25">
      <c r="A238" s="14">
        <v>191</v>
      </c>
      <c r="B238" s="18" t="s">
        <v>815</v>
      </c>
      <c r="C238" s="7" t="s">
        <v>816</v>
      </c>
      <c r="D238" s="14" t="s">
        <v>131</v>
      </c>
      <c r="E238" s="15">
        <v>150000</v>
      </c>
    </row>
    <row r="239" spans="1:5" x14ac:dyDescent="0.25">
      <c r="A239" s="14">
        <v>192</v>
      </c>
      <c r="B239" s="18" t="s">
        <v>558</v>
      </c>
      <c r="C239" s="7" t="s">
        <v>559</v>
      </c>
      <c r="D239" s="14" t="s">
        <v>131</v>
      </c>
      <c r="E239" s="15">
        <v>150000</v>
      </c>
    </row>
    <row r="240" spans="1:5" x14ac:dyDescent="0.25">
      <c r="A240" s="14">
        <v>193</v>
      </c>
      <c r="B240" s="18" t="s">
        <v>623</v>
      </c>
      <c r="C240" s="7" t="s">
        <v>624</v>
      </c>
      <c r="D240" s="14" t="s">
        <v>131</v>
      </c>
      <c r="E240" s="15">
        <v>150000</v>
      </c>
    </row>
    <row r="241" spans="1:5" x14ac:dyDescent="0.25">
      <c r="A241" s="14">
        <v>194</v>
      </c>
      <c r="B241" s="18" t="s">
        <v>405</v>
      </c>
      <c r="C241" s="7" t="s">
        <v>406</v>
      </c>
      <c r="D241" s="14" t="s">
        <v>131</v>
      </c>
      <c r="E241" s="15">
        <v>150000</v>
      </c>
    </row>
    <row r="242" spans="1:5" x14ac:dyDescent="0.25">
      <c r="A242" s="14">
        <v>195</v>
      </c>
      <c r="B242" s="18" t="s">
        <v>817</v>
      </c>
      <c r="C242" s="7" t="s">
        <v>818</v>
      </c>
      <c r="D242" s="14" t="s">
        <v>131</v>
      </c>
      <c r="E242" s="15">
        <v>150000</v>
      </c>
    </row>
    <row r="243" spans="1:5" x14ac:dyDescent="0.25">
      <c r="A243" s="14">
        <v>196</v>
      </c>
      <c r="B243" s="18" t="s">
        <v>339</v>
      </c>
      <c r="C243" s="7" t="s">
        <v>340</v>
      </c>
      <c r="D243" s="14" t="s">
        <v>131</v>
      </c>
      <c r="E243" s="15">
        <v>150000</v>
      </c>
    </row>
    <row r="244" spans="1:5" x14ac:dyDescent="0.25">
      <c r="A244" s="14">
        <v>196</v>
      </c>
      <c r="B244" s="18" t="s">
        <v>1203</v>
      </c>
      <c r="C244" s="7" t="s">
        <v>1204</v>
      </c>
      <c r="D244" s="14" t="s">
        <v>131</v>
      </c>
      <c r="E244" s="15">
        <v>150000</v>
      </c>
    </row>
    <row r="245" spans="1:5" x14ac:dyDescent="0.25">
      <c r="A245" s="14">
        <v>197</v>
      </c>
      <c r="B245" s="18" t="s">
        <v>565</v>
      </c>
      <c r="C245" s="7" t="s">
        <v>819</v>
      </c>
      <c r="D245" s="14" t="s">
        <v>131</v>
      </c>
      <c r="E245" s="15">
        <v>150000</v>
      </c>
    </row>
    <row r="246" spans="1:5" x14ac:dyDescent="0.25">
      <c r="A246" s="14">
        <v>198</v>
      </c>
      <c r="B246" s="18" t="s">
        <v>820</v>
      </c>
      <c r="C246" s="7" t="s">
        <v>821</v>
      </c>
      <c r="D246" s="14" t="s">
        <v>131</v>
      </c>
      <c r="E246" s="15">
        <v>150000</v>
      </c>
    </row>
    <row r="247" spans="1:5" x14ac:dyDescent="0.25">
      <c r="A247" s="14">
        <v>199</v>
      </c>
      <c r="B247" s="18" t="s">
        <v>393</v>
      </c>
      <c r="C247" s="7" t="s">
        <v>394</v>
      </c>
      <c r="D247" s="14" t="s">
        <v>131</v>
      </c>
      <c r="E247" s="15">
        <v>150000</v>
      </c>
    </row>
    <row r="248" spans="1:5" x14ac:dyDescent="0.25">
      <c r="A248" s="14">
        <v>200</v>
      </c>
      <c r="B248" s="18" t="s">
        <v>371</v>
      </c>
      <c r="C248" s="7" t="s">
        <v>372</v>
      </c>
      <c r="D248" s="14" t="s">
        <v>131</v>
      </c>
      <c r="E248" s="15">
        <v>150000</v>
      </c>
    </row>
    <row r="249" spans="1:5" x14ac:dyDescent="0.25">
      <c r="A249" s="14">
        <v>201</v>
      </c>
      <c r="B249" s="18" t="s">
        <v>301</v>
      </c>
      <c r="C249" s="7" t="s">
        <v>302</v>
      </c>
      <c r="D249" s="14" t="s">
        <v>131</v>
      </c>
      <c r="E249" s="15">
        <v>150000</v>
      </c>
    </row>
    <row r="250" spans="1:5" x14ac:dyDescent="0.25">
      <c r="A250" s="14">
        <v>202</v>
      </c>
      <c r="B250" s="18" t="s">
        <v>822</v>
      </c>
      <c r="C250" s="7" t="s">
        <v>823</v>
      </c>
      <c r="D250" s="14" t="s">
        <v>131</v>
      </c>
      <c r="E250" s="15">
        <v>150000</v>
      </c>
    </row>
    <row r="251" spans="1:5" x14ac:dyDescent="0.25">
      <c r="A251" s="14">
        <v>203</v>
      </c>
      <c r="B251" s="18" t="s">
        <v>461</v>
      </c>
      <c r="C251" s="7" t="s">
        <v>462</v>
      </c>
      <c r="D251" s="14" t="s">
        <v>131</v>
      </c>
      <c r="E251" s="15">
        <v>150000</v>
      </c>
    </row>
    <row r="252" spans="1:5" x14ac:dyDescent="0.25">
      <c r="A252" s="14">
        <v>204</v>
      </c>
      <c r="B252" s="18" t="s">
        <v>295</v>
      </c>
      <c r="C252" s="7" t="s">
        <v>296</v>
      </c>
      <c r="D252" s="14" t="s">
        <v>131</v>
      </c>
      <c r="E252" s="15">
        <v>150000</v>
      </c>
    </row>
    <row r="253" spans="1:5" x14ac:dyDescent="0.25">
      <c r="A253" s="14">
        <v>205</v>
      </c>
      <c r="B253" s="18" t="s">
        <v>287</v>
      </c>
      <c r="C253" s="7" t="s">
        <v>288</v>
      </c>
      <c r="D253" s="14" t="s">
        <v>131</v>
      </c>
      <c r="E253" s="15">
        <v>150000</v>
      </c>
    </row>
    <row r="254" spans="1:5" x14ac:dyDescent="0.25">
      <c r="A254" s="14">
        <v>206</v>
      </c>
      <c r="B254" s="18" t="s">
        <v>307</v>
      </c>
      <c r="C254" s="7" t="s">
        <v>308</v>
      </c>
      <c r="D254" s="14" t="s">
        <v>131</v>
      </c>
      <c r="E254" s="15">
        <v>150000</v>
      </c>
    </row>
    <row r="255" spans="1:5" x14ac:dyDescent="0.25">
      <c r="A255" s="14"/>
      <c r="B255" s="18" t="s">
        <v>1011</v>
      </c>
      <c r="C255" s="7" t="s">
        <v>1012</v>
      </c>
      <c r="D255" s="14" t="s">
        <v>174</v>
      </c>
      <c r="E255" s="15">
        <v>150000</v>
      </c>
    </row>
    <row r="256" spans="1:5" x14ac:dyDescent="0.25">
      <c r="A256" s="14">
        <v>207</v>
      </c>
      <c r="B256" s="18" t="s">
        <v>415</v>
      </c>
      <c r="C256" s="7" t="s">
        <v>416</v>
      </c>
      <c r="D256" s="14" t="s">
        <v>131</v>
      </c>
      <c r="E256" s="15">
        <v>150000</v>
      </c>
    </row>
    <row r="257" spans="1:5" x14ac:dyDescent="0.25">
      <c r="A257" s="14">
        <v>208</v>
      </c>
      <c r="B257" s="18" t="s">
        <v>216</v>
      </c>
      <c r="C257" s="7" t="s">
        <v>824</v>
      </c>
      <c r="D257" s="14" t="s">
        <v>131</v>
      </c>
      <c r="E257" s="15">
        <v>150000</v>
      </c>
    </row>
    <row r="258" spans="1:5" x14ac:dyDescent="0.25">
      <c r="A258" s="14">
        <v>209</v>
      </c>
      <c r="B258" s="18" t="s">
        <v>612</v>
      </c>
      <c r="C258" s="7" t="s">
        <v>613</v>
      </c>
      <c r="D258" s="14" t="s">
        <v>131</v>
      </c>
      <c r="E258" s="15">
        <v>150000</v>
      </c>
    </row>
    <row r="259" spans="1:5" x14ac:dyDescent="0.25">
      <c r="A259" s="14">
        <v>210</v>
      </c>
      <c r="B259" s="18" t="s">
        <v>297</v>
      </c>
      <c r="C259" s="7" t="s">
        <v>298</v>
      </c>
      <c r="D259" s="14" t="s">
        <v>131</v>
      </c>
      <c r="E259" s="15">
        <v>150000</v>
      </c>
    </row>
    <row r="260" spans="1:5" x14ac:dyDescent="0.25">
      <c r="A260" s="14">
        <v>211</v>
      </c>
      <c r="B260" s="18" t="s">
        <v>266</v>
      </c>
      <c r="C260" s="7" t="s">
        <v>265</v>
      </c>
      <c r="D260" s="14" t="s">
        <v>131</v>
      </c>
      <c r="E260" s="15">
        <v>150000</v>
      </c>
    </row>
    <row r="261" spans="1:5" x14ac:dyDescent="0.25">
      <c r="A261" s="14">
        <v>211</v>
      </c>
      <c r="B261" s="18" t="s">
        <v>1101</v>
      </c>
      <c r="C261" s="7" t="s">
        <v>1102</v>
      </c>
      <c r="D261" s="14" t="s">
        <v>131</v>
      </c>
      <c r="E261" s="15">
        <v>150000</v>
      </c>
    </row>
    <row r="262" spans="1:5" x14ac:dyDescent="0.25">
      <c r="A262" s="14">
        <v>212</v>
      </c>
      <c r="B262" s="18" t="s">
        <v>825</v>
      </c>
      <c r="C262" s="7" t="s">
        <v>826</v>
      </c>
      <c r="D262" s="14" t="s">
        <v>131</v>
      </c>
      <c r="E262" s="15">
        <v>150000</v>
      </c>
    </row>
    <row r="263" spans="1:5" x14ac:dyDescent="0.25">
      <c r="A263" s="14">
        <v>213</v>
      </c>
      <c r="B263" s="18" t="s">
        <v>309</v>
      </c>
      <c r="C263" s="7" t="s">
        <v>310</v>
      </c>
      <c r="D263" s="14" t="s">
        <v>131</v>
      </c>
      <c r="E263" s="15">
        <v>150000</v>
      </c>
    </row>
    <row r="264" spans="1:5" x14ac:dyDescent="0.25">
      <c r="A264" s="14">
        <v>214</v>
      </c>
      <c r="B264" s="18" t="s">
        <v>534</v>
      </c>
      <c r="C264" s="7" t="s">
        <v>535</v>
      </c>
      <c r="D264" s="14" t="s">
        <v>131</v>
      </c>
      <c r="E264" s="15">
        <v>150000</v>
      </c>
    </row>
    <row r="265" spans="1:5" x14ac:dyDescent="0.25">
      <c r="A265" s="14">
        <v>214</v>
      </c>
      <c r="B265" s="18" t="s">
        <v>1031</v>
      </c>
      <c r="C265" s="7" t="s">
        <v>1032</v>
      </c>
      <c r="D265" s="14" t="s">
        <v>131</v>
      </c>
      <c r="E265" s="15">
        <v>150000</v>
      </c>
    </row>
    <row r="266" spans="1:5" x14ac:dyDescent="0.25">
      <c r="A266" s="14"/>
      <c r="B266" s="18" t="s">
        <v>1015</v>
      </c>
      <c r="C266" s="7" t="s">
        <v>1016</v>
      </c>
      <c r="D266" s="14" t="s">
        <v>131</v>
      </c>
      <c r="E266" s="15">
        <v>150000</v>
      </c>
    </row>
    <row r="267" spans="1:5" x14ac:dyDescent="0.25">
      <c r="A267" s="14"/>
      <c r="B267" s="18" t="s">
        <v>1217</v>
      </c>
      <c r="C267" s="7" t="s">
        <v>1216</v>
      </c>
      <c r="D267" s="14" t="s">
        <v>131</v>
      </c>
      <c r="E267" s="15">
        <v>150000</v>
      </c>
    </row>
    <row r="268" spans="1:5" x14ac:dyDescent="0.25">
      <c r="A268" s="14">
        <v>215</v>
      </c>
      <c r="B268" s="18" t="s">
        <v>455</v>
      </c>
      <c r="C268" s="7" t="s">
        <v>456</v>
      </c>
      <c r="D268" s="14" t="s">
        <v>131</v>
      </c>
      <c r="E268" s="15">
        <v>150000</v>
      </c>
    </row>
    <row r="269" spans="1:5" x14ac:dyDescent="0.25">
      <c r="A269" s="14">
        <v>216</v>
      </c>
      <c r="B269" s="18" t="s">
        <v>632</v>
      </c>
      <c r="C269" s="7" t="s">
        <v>633</v>
      </c>
      <c r="D269" s="14" t="s">
        <v>131</v>
      </c>
      <c r="E269" s="15">
        <v>150000</v>
      </c>
    </row>
    <row r="270" spans="1:5" x14ac:dyDescent="0.25">
      <c r="A270" s="14">
        <v>216</v>
      </c>
      <c r="B270" s="18" t="s">
        <v>1146</v>
      </c>
      <c r="C270" s="7" t="s">
        <v>1147</v>
      </c>
      <c r="D270" s="14" t="s">
        <v>131</v>
      </c>
      <c r="E270" s="15">
        <v>150000</v>
      </c>
    </row>
    <row r="271" spans="1:5" x14ac:dyDescent="0.25">
      <c r="A271" s="14">
        <v>217</v>
      </c>
      <c r="B271" s="18" t="s">
        <v>634</v>
      </c>
      <c r="C271" s="7" t="s">
        <v>642</v>
      </c>
      <c r="D271" s="14" t="s">
        <v>131</v>
      </c>
      <c r="E271" s="15">
        <v>150000</v>
      </c>
    </row>
    <row r="272" spans="1:5" x14ac:dyDescent="0.25">
      <c r="A272" s="14">
        <v>218</v>
      </c>
      <c r="B272" s="18" t="s">
        <v>827</v>
      </c>
      <c r="C272" s="7" t="s">
        <v>828</v>
      </c>
      <c r="D272" s="14" t="s">
        <v>131</v>
      </c>
      <c r="E272" s="15">
        <v>150000</v>
      </c>
    </row>
    <row r="273" spans="1:5" x14ac:dyDescent="0.25">
      <c r="A273" s="14">
        <v>219</v>
      </c>
      <c r="B273" s="18" t="s">
        <v>215</v>
      </c>
      <c r="C273" s="7" t="s">
        <v>829</v>
      </c>
      <c r="D273" s="14" t="s">
        <v>131</v>
      </c>
      <c r="E273" s="15">
        <v>150000</v>
      </c>
    </row>
    <row r="274" spans="1:5" x14ac:dyDescent="0.25">
      <c r="A274" s="14">
        <v>220</v>
      </c>
      <c r="B274" s="18" t="s">
        <v>830</v>
      </c>
      <c r="C274" s="7" t="s">
        <v>831</v>
      </c>
      <c r="D274" s="14" t="s">
        <v>131</v>
      </c>
      <c r="E274" s="15">
        <v>150000</v>
      </c>
    </row>
    <row r="275" spans="1:5" x14ac:dyDescent="0.25">
      <c r="A275" s="14">
        <v>221</v>
      </c>
      <c r="B275" s="18" t="s">
        <v>832</v>
      </c>
      <c r="C275" s="7" t="s">
        <v>833</v>
      </c>
      <c r="D275" s="14" t="s">
        <v>131</v>
      </c>
      <c r="E275" s="15">
        <v>150000</v>
      </c>
    </row>
    <row r="276" spans="1:5" x14ac:dyDescent="0.25">
      <c r="A276" s="14">
        <v>222</v>
      </c>
      <c r="B276" s="18" t="s">
        <v>221</v>
      </c>
      <c r="C276" s="7" t="s">
        <v>222</v>
      </c>
      <c r="D276" s="14" t="s">
        <v>131</v>
      </c>
      <c r="E276" s="15">
        <v>150000</v>
      </c>
    </row>
    <row r="277" spans="1:5" x14ac:dyDescent="0.25">
      <c r="A277" s="14">
        <v>223</v>
      </c>
      <c r="B277" s="18" t="s">
        <v>834</v>
      </c>
      <c r="C277" s="7" t="s">
        <v>835</v>
      </c>
      <c r="D277" s="14" t="s">
        <v>131</v>
      </c>
      <c r="E277" s="15">
        <v>150000</v>
      </c>
    </row>
    <row r="278" spans="1:5" x14ac:dyDescent="0.25">
      <c r="A278" s="14"/>
      <c r="B278" s="18" t="s">
        <v>1027</v>
      </c>
      <c r="C278" s="7" t="s">
        <v>1028</v>
      </c>
      <c r="D278" s="14" t="s">
        <v>131</v>
      </c>
      <c r="E278" s="15">
        <v>150000</v>
      </c>
    </row>
    <row r="279" spans="1:5" x14ac:dyDescent="0.25">
      <c r="A279" s="14">
        <v>224</v>
      </c>
      <c r="B279" s="18" t="s">
        <v>499</v>
      </c>
      <c r="C279" s="7" t="s">
        <v>500</v>
      </c>
      <c r="D279" s="14" t="s">
        <v>131</v>
      </c>
      <c r="E279" s="15">
        <v>150000</v>
      </c>
    </row>
    <row r="280" spans="1:5" x14ac:dyDescent="0.25">
      <c r="A280" s="14">
        <v>225</v>
      </c>
      <c r="B280" s="18" t="s">
        <v>836</v>
      </c>
      <c r="C280" s="7" t="s">
        <v>837</v>
      </c>
      <c r="D280" s="14" t="s">
        <v>131</v>
      </c>
      <c r="E280" s="15">
        <v>150000</v>
      </c>
    </row>
    <row r="281" spans="1:5" x14ac:dyDescent="0.25">
      <c r="A281" s="14">
        <v>226</v>
      </c>
      <c r="B281" s="18" t="s">
        <v>524</v>
      </c>
      <c r="C281" s="7" t="s">
        <v>525</v>
      </c>
      <c r="D281" s="14" t="s">
        <v>131</v>
      </c>
      <c r="E281" s="15">
        <v>150000</v>
      </c>
    </row>
    <row r="282" spans="1:5" x14ac:dyDescent="0.25">
      <c r="A282" s="14">
        <v>227</v>
      </c>
      <c r="B282" s="18" t="s">
        <v>838</v>
      </c>
      <c r="C282" s="7" t="s">
        <v>839</v>
      </c>
      <c r="D282" s="14" t="s">
        <v>131</v>
      </c>
      <c r="E282" s="15">
        <v>150000</v>
      </c>
    </row>
    <row r="283" spans="1:5" x14ac:dyDescent="0.25">
      <c r="A283" s="14">
        <v>228</v>
      </c>
      <c r="B283" s="18" t="s">
        <v>840</v>
      </c>
      <c r="C283" s="7" t="s">
        <v>841</v>
      </c>
      <c r="D283" s="14" t="s">
        <v>131</v>
      </c>
      <c r="E283" s="15">
        <v>150000</v>
      </c>
    </row>
    <row r="284" spans="1:5" x14ac:dyDescent="0.25">
      <c r="A284" s="14">
        <v>229</v>
      </c>
      <c r="B284" s="18" t="s">
        <v>635</v>
      </c>
      <c r="C284" s="7" t="s">
        <v>636</v>
      </c>
      <c r="D284" s="14" t="s">
        <v>131</v>
      </c>
      <c r="E284" s="15">
        <v>150000</v>
      </c>
    </row>
    <row r="285" spans="1:5" x14ac:dyDescent="0.25">
      <c r="A285" s="14">
        <v>230</v>
      </c>
      <c r="B285" s="18" t="s">
        <v>440</v>
      </c>
      <c r="C285" s="7" t="s">
        <v>442</v>
      </c>
      <c r="D285" s="14" t="s">
        <v>131</v>
      </c>
      <c r="E285" s="15">
        <v>150000</v>
      </c>
    </row>
    <row r="286" spans="1:5" x14ac:dyDescent="0.25">
      <c r="A286" s="14">
        <v>231</v>
      </c>
      <c r="B286" s="18" t="s">
        <v>842</v>
      </c>
      <c r="C286" s="7" t="s">
        <v>843</v>
      </c>
      <c r="D286" s="14" t="s">
        <v>131</v>
      </c>
      <c r="E286" s="15">
        <v>150000</v>
      </c>
    </row>
    <row r="287" spans="1:5" x14ac:dyDescent="0.25">
      <c r="A287" s="14">
        <v>232</v>
      </c>
      <c r="B287" s="18" t="s">
        <v>342</v>
      </c>
      <c r="C287" s="7" t="s">
        <v>343</v>
      </c>
      <c r="D287" s="14" t="s">
        <v>131</v>
      </c>
      <c r="E287" s="15">
        <v>150000</v>
      </c>
    </row>
    <row r="288" spans="1:5" x14ac:dyDescent="0.25">
      <c r="A288" s="14"/>
      <c r="B288" s="18" t="s">
        <v>1155</v>
      </c>
      <c r="C288" s="7" t="s">
        <v>1156</v>
      </c>
      <c r="D288" s="14" t="s">
        <v>131</v>
      </c>
      <c r="E288" s="15">
        <v>150000</v>
      </c>
    </row>
    <row r="289" spans="1:5" x14ac:dyDescent="0.25">
      <c r="A289" s="14">
        <v>233</v>
      </c>
      <c r="B289" s="18" t="s">
        <v>439</v>
      </c>
      <c r="C289" s="7" t="s">
        <v>441</v>
      </c>
      <c r="D289" s="14" t="s">
        <v>131</v>
      </c>
      <c r="E289" s="15">
        <v>150000</v>
      </c>
    </row>
    <row r="290" spans="1:5" x14ac:dyDescent="0.25">
      <c r="A290" s="14">
        <v>234</v>
      </c>
      <c r="B290" s="18" t="s">
        <v>432</v>
      </c>
      <c r="C290" s="7" t="s">
        <v>433</v>
      </c>
      <c r="D290" s="14" t="s">
        <v>131</v>
      </c>
      <c r="E290" s="15">
        <v>150000</v>
      </c>
    </row>
    <row r="291" spans="1:5" x14ac:dyDescent="0.25">
      <c r="A291" s="14">
        <v>235</v>
      </c>
      <c r="B291" s="18" t="s">
        <v>844</v>
      </c>
      <c r="C291" s="7" t="s">
        <v>845</v>
      </c>
      <c r="D291" s="14" t="s">
        <v>131</v>
      </c>
      <c r="E291" s="15">
        <v>150000</v>
      </c>
    </row>
    <row r="292" spans="1:5" x14ac:dyDescent="0.25">
      <c r="A292" s="14">
        <v>236</v>
      </c>
      <c r="B292" s="18" t="s">
        <v>846</v>
      </c>
      <c r="C292" s="7" t="s">
        <v>847</v>
      </c>
      <c r="D292" s="14" t="s">
        <v>131</v>
      </c>
      <c r="E292" s="15">
        <v>150000</v>
      </c>
    </row>
    <row r="293" spans="1:5" x14ac:dyDescent="0.25">
      <c r="A293" s="14">
        <v>237</v>
      </c>
      <c r="B293" s="18" t="s">
        <v>848</v>
      </c>
      <c r="C293" s="7" t="s">
        <v>849</v>
      </c>
      <c r="D293" s="14" t="s">
        <v>131</v>
      </c>
      <c r="E293" s="15">
        <v>150000</v>
      </c>
    </row>
    <row r="294" spans="1:5" x14ac:dyDescent="0.25">
      <c r="A294" s="14">
        <v>238</v>
      </c>
      <c r="B294" s="18" t="s">
        <v>850</v>
      </c>
      <c r="C294" s="7" t="s">
        <v>851</v>
      </c>
      <c r="D294" s="14" t="s">
        <v>131</v>
      </c>
      <c r="E294" s="15">
        <v>150000</v>
      </c>
    </row>
    <row r="295" spans="1:5" x14ac:dyDescent="0.25">
      <c r="A295" s="14">
        <v>239</v>
      </c>
      <c r="B295" s="18" t="s">
        <v>626</v>
      </c>
      <c r="C295" s="7" t="s">
        <v>852</v>
      </c>
      <c r="D295" s="14" t="s">
        <v>131</v>
      </c>
      <c r="E295" s="15">
        <v>150000</v>
      </c>
    </row>
    <row r="296" spans="1:5" x14ac:dyDescent="0.25">
      <c r="A296" s="14">
        <v>240</v>
      </c>
      <c r="B296" s="18" t="s">
        <v>637</v>
      </c>
      <c r="C296" s="7" t="s">
        <v>853</v>
      </c>
      <c r="D296" s="14" t="s">
        <v>131</v>
      </c>
      <c r="E296" s="15">
        <v>150000</v>
      </c>
    </row>
    <row r="297" spans="1:5" x14ac:dyDescent="0.25">
      <c r="A297" s="14">
        <v>241</v>
      </c>
      <c r="B297" s="18" t="s">
        <v>427</v>
      </c>
      <c r="C297" s="7" t="s">
        <v>854</v>
      </c>
      <c r="D297" s="14" t="s">
        <v>131</v>
      </c>
      <c r="E297" s="15">
        <v>150000</v>
      </c>
    </row>
    <row r="298" spans="1:5" x14ac:dyDescent="0.25">
      <c r="A298" s="14">
        <v>242</v>
      </c>
      <c r="B298" s="18" t="s">
        <v>409</v>
      </c>
      <c r="C298" s="7" t="s">
        <v>410</v>
      </c>
      <c r="D298" s="14" t="s">
        <v>131</v>
      </c>
      <c r="E298" s="15">
        <v>150000</v>
      </c>
    </row>
    <row r="299" spans="1:5" x14ac:dyDescent="0.25">
      <c r="A299" s="14">
        <v>243</v>
      </c>
      <c r="B299" s="18" t="s">
        <v>855</v>
      </c>
      <c r="C299" s="7" t="s">
        <v>856</v>
      </c>
      <c r="D299" s="14" t="s">
        <v>131</v>
      </c>
      <c r="E299" s="15">
        <v>150000</v>
      </c>
    </row>
    <row r="300" spans="1:5" x14ac:dyDescent="0.25">
      <c r="A300" s="14">
        <v>244</v>
      </c>
      <c r="B300" s="18" t="s">
        <v>857</v>
      </c>
      <c r="C300" s="7" t="s">
        <v>858</v>
      </c>
      <c r="D300" s="14" t="s">
        <v>131</v>
      </c>
      <c r="E300" s="15">
        <v>150000</v>
      </c>
    </row>
    <row r="301" spans="1:5" x14ac:dyDescent="0.25">
      <c r="A301" s="14">
        <v>244</v>
      </c>
      <c r="B301" s="18" t="s">
        <v>1025</v>
      </c>
      <c r="C301" s="7" t="s">
        <v>1026</v>
      </c>
      <c r="D301" s="14" t="s">
        <v>131</v>
      </c>
      <c r="E301" s="15">
        <v>150000</v>
      </c>
    </row>
    <row r="302" spans="1:5" x14ac:dyDescent="0.25">
      <c r="A302" s="14">
        <v>245</v>
      </c>
      <c r="B302" s="18" t="s">
        <v>859</v>
      </c>
      <c r="C302" s="7" t="s">
        <v>860</v>
      </c>
      <c r="D302" s="14" t="s">
        <v>131</v>
      </c>
      <c r="E302" s="15">
        <v>150000</v>
      </c>
    </row>
    <row r="303" spans="1:5" x14ac:dyDescent="0.25">
      <c r="A303" s="14"/>
      <c r="B303" s="18" t="s">
        <v>1271</v>
      </c>
      <c r="C303" s="7" t="s">
        <v>1272</v>
      </c>
      <c r="D303" s="14" t="s">
        <v>131</v>
      </c>
      <c r="E303" s="15">
        <v>170000</v>
      </c>
    </row>
    <row r="304" spans="1:5" x14ac:dyDescent="0.25">
      <c r="A304" s="14"/>
      <c r="B304" s="18" t="s">
        <v>1005</v>
      </c>
      <c r="C304" s="7" t="s">
        <v>1006</v>
      </c>
      <c r="D304" s="14" t="s">
        <v>131</v>
      </c>
      <c r="E304" s="15">
        <v>150000</v>
      </c>
    </row>
    <row r="305" spans="1:5" x14ac:dyDescent="0.25">
      <c r="A305" s="14">
        <v>246</v>
      </c>
      <c r="B305" s="18" t="s">
        <v>362</v>
      </c>
      <c r="C305" s="7" t="s">
        <v>363</v>
      </c>
      <c r="D305" s="14" t="s">
        <v>131</v>
      </c>
      <c r="E305" s="15">
        <v>150000</v>
      </c>
    </row>
    <row r="306" spans="1:5" x14ac:dyDescent="0.25">
      <c r="A306" s="14">
        <v>247</v>
      </c>
      <c r="B306" s="18" t="s">
        <v>861</v>
      </c>
      <c r="C306" s="7" t="s">
        <v>862</v>
      </c>
      <c r="D306" s="14" t="s">
        <v>131</v>
      </c>
      <c r="E306" s="15">
        <v>150000</v>
      </c>
    </row>
    <row r="307" spans="1:5" x14ac:dyDescent="0.25">
      <c r="A307" s="14">
        <v>248</v>
      </c>
      <c r="B307" s="18" t="s">
        <v>863</v>
      </c>
      <c r="C307" s="7" t="s">
        <v>864</v>
      </c>
      <c r="D307" s="14" t="s">
        <v>131</v>
      </c>
      <c r="E307" s="15">
        <v>150000</v>
      </c>
    </row>
    <row r="308" spans="1:5" x14ac:dyDescent="0.25">
      <c r="A308" s="14">
        <v>249</v>
      </c>
      <c r="B308" s="18" t="s">
        <v>323</v>
      </c>
      <c r="C308" s="7" t="s">
        <v>364</v>
      </c>
      <c r="D308" s="14" t="s">
        <v>131</v>
      </c>
      <c r="E308" s="15">
        <v>150000</v>
      </c>
    </row>
    <row r="309" spans="1:5" x14ac:dyDescent="0.25">
      <c r="A309" s="14"/>
      <c r="B309" s="18" t="s">
        <v>1201</v>
      </c>
      <c r="C309" s="7" t="s">
        <v>1202</v>
      </c>
      <c r="D309" s="14" t="s">
        <v>131</v>
      </c>
      <c r="E309" s="15">
        <v>150000</v>
      </c>
    </row>
    <row r="310" spans="1:5" x14ac:dyDescent="0.25">
      <c r="A310" s="14"/>
      <c r="B310" s="18" t="s">
        <v>1199</v>
      </c>
      <c r="C310" s="7" t="s">
        <v>1200</v>
      </c>
      <c r="D310" s="14" t="s">
        <v>131</v>
      </c>
      <c r="E310" s="15">
        <v>150000</v>
      </c>
    </row>
    <row r="311" spans="1:5" x14ac:dyDescent="0.25">
      <c r="A311" s="14"/>
      <c r="B311" s="18" t="s">
        <v>1227</v>
      </c>
      <c r="C311" s="7" t="s">
        <v>1228</v>
      </c>
      <c r="D311" s="14" t="s">
        <v>131</v>
      </c>
      <c r="E311" s="15">
        <v>150000</v>
      </c>
    </row>
    <row r="312" spans="1:5" x14ac:dyDescent="0.25">
      <c r="A312" s="14">
        <v>250</v>
      </c>
      <c r="B312" s="18" t="s">
        <v>865</v>
      </c>
      <c r="C312" s="7" t="s">
        <v>866</v>
      </c>
      <c r="D312" s="14" t="s">
        <v>131</v>
      </c>
      <c r="E312" s="15">
        <v>150000</v>
      </c>
    </row>
    <row r="313" spans="1:5" x14ac:dyDescent="0.25">
      <c r="A313" s="14"/>
      <c r="B313" s="18" t="s">
        <v>1043</v>
      </c>
      <c r="C313" s="7" t="s">
        <v>1044</v>
      </c>
      <c r="D313" s="14" t="s">
        <v>131</v>
      </c>
      <c r="E313" s="15">
        <v>150000</v>
      </c>
    </row>
    <row r="314" spans="1:5" x14ac:dyDescent="0.25">
      <c r="A314" s="14">
        <v>251</v>
      </c>
      <c r="B314" s="18" t="s">
        <v>867</v>
      </c>
      <c r="C314" s="7" t="s">
        <v>868</v>
      </c>
      <c r="D314" s="14" t="s">
        <v>131</v>
      </c>
      <c r="E314" s="15">
        <v>150000</v>
      </c>
    </row>
    <row r="315" spans="1:5" x14ac:dyDescent="0.25">
      <c r="A315" s="14">
        <v>252</v>
      </c>
      <c r="B315" s="18" t="s">
        <v>411</v>
      </c>
      <c r="C315" s="7" t="s">
        <v>412</v>
      </c>
      <c r="D315" s="14" t="s">
        <v>131</v>
      </c>
      <c r="E315" s="15">
        <v>150000</v>
      </c>
    </row>
    <row r="316" spans="1:5" x14ac:dyDescent="0.25">
      <c r="A316" s="14"/>
      <c r="B316" s="18" t="s">
        <v>1042</v>
      </c>
      <c r="C316" s="7" t="s">
        <v>1041</v>
      </c>
      <c r="D316" s="14" t="s">
        <v>131</v>
      </c>
      <c r="E316" s="15">
        <v>150000</v>
      </c>
    </row>
    <row r="317" spans="1:5" x14ac:dyDescent="0.25">
      <c r="A317" s="14">
        <v>253</v>
      </c>
      <c r="B317" s="18" t="s">
        <v>869</v>
      </c>
      <c r="C317" s="7" t="s">
        <v>870</v>
      </c>
      <c r="D317" s="14" t="s">
        <v>131</v>
      </c>
      <c r="E317" s="15">
        <v>150000</v>
      </c>
    </row>
    <row r="318" spans="1:5" x14ac:dyDescent="0.25">
      <c r="A318" s="14">
        <v>254</v>
      </c>
      <c r="B318" s="18" t="s">
        <v>341</v>
      </c>
      <c r="C318" s="7" t="s">
        <v>871</v>
      </c>
      <c r="D318" s="14" t="s">
        <v>131</v>
      </c>
      <c r="E318" s="15">
        <v>150000</v>
      </c>
    </row>
    <row r="319" spans="1:5" x14ac:dyDescent="0.25">
      <c r="A319" s="14">
        <v>255</v>
      </c>
      <c r="B319" s="18" t="s">
        <v>471</v>
      </c>
      <c r="C319" s="7" t="s">
        <v>472</v>
      </c>
      <c r="D319" s="14" t="s">
        <v>131</v>
      </c>
      <c r="E319" s="15">
        <v>150000</v>
      </c>
    </row>
    <row r="320" spans="1:5" x14ac:dyDescent="0.25">
      <c r="A320" s="14">
        <v>256</v>
      </c>
      <c r="B320" s="18" t="s">
        <v>872</v>
      </c>
      <c r="C320" s="7" t="s">
        <v>873</v>
      </c>
      <c r="D320" s="14" t="s">
        <v>131</v>
      </c>
      <c r="E320" s="15">
        <v>150000</v>
      </c>
    </row>
    <row r="321" spans="1:5" x14ac:dyDescent="0.25">
      <c r="A321" s="14">
        <v>257</v>
      </c>
      <c r="B321" s="18" t="s">
        <v>413</v>
      </c>
      <c r="C321" s="7" t="s">
        <v>414</v>
      </c>
      <c r="D321" s="14" t="s">
        <v>131</v>
      </c>
      <c r="E321" s="15">
        <v>150000</v>
      </c>
    </row>
    <row r="322" spans="1:5" x14ac:dyDescent="0.25">
      <c r="A322" s="14">
        <v>258</v>
      </c>
      <c r="B322" s="18" t="s">
        <v>494</v>
      </c>
      <c r="C322" s="7" t="s">
        <v>493</v>
      </c>
      <c r="D322" s="14" t="s">
        <v>131</v>
      </c>
      <c r="E322" s="15">
        <v>150000</v>
      </c>
    </row>
    <row r="323" spans="1:5" x14ac:dyDescent="0.25">
      <c r="A323" s="14">
        <v>259</v>
      </c>
      <c r="B323" s="18" t="s">
        <v>313</v>
      </c>
      <c r="C323" s="7" t="s">
        <v>314</v>
      </c>
      <c r="D323" s="14" t="s">
        <v>131</v>
      </c>
      <c r="E323" s="15">
        <v>150000</v>
      </c>
    </row>
    <row r="324" spans="1:5" x14ac:dyDescent="0.25">
      <c r="A324" s="14">
        <v>260</v>
      </c>
      <c r="B324" s="18" t="s">
        <v>630</v>
      </c>
      <c r="C324" s="7" t="s">
        <v>631</v>
      </c>
      <c r="D324" s="14" t="s">
        <v>131</v>
      </c>
      <c r="E324" s="15">
        <v>150000</v>
      </c>
    </row>
    <row r="325" spans="1:5" x14ac:dyDescent="0.25">
      <c r="A325" s="14">
        <v>261</v>
      </c>
      <c r="B325" s="18" t="s">
        <v>874</v>
      </c>
      <c r="C325" s="7" t="s">
        <v>875</v>
      </c>
      <c r="D325" s="14" t="s">
        <v>131</v>
      </c>
      <c r="E325" s="15">
        <v>150000</v>
      </c>
    </row>
    <row r="326" spans="1:5" x14ac:dyDescent="0.25">
      <c r="A326" s="14">
        <v>262</v>
      </c>
      <c r="B326" s="18" t="s">
        <v>653</v>
      </c>
      <c r="C326" s="7" t="s">
        <v>654</v>
      </c>
      <c r="D326" s="14" t="s">
        <v>131</v>
      </c>
      <c r="E326" s="15">
        <v>150000</v>
      </c>
    </row>
    <row r="327" spans="1:5" x14ac:dyDescent="0.25">
      <c r="A327" s="14">
        <v>263</v>
      </c>
      <c r="B327" s="18" t="s">
        <v>465</v>
      </c>
      <c r="C327" s="7" t="s">
        <v>466</v>
      </c>
      <c r="D327" s="14" t="s">
        <v>131</v>
      </c>
      <c r="E327" s="15">
        <v>150000</v>
      </c>
    </row>
    <row r="328" spans="1:5" x14ac:dyDescent="0.25">
      <c r="A328" s="14">
        <v>263</v>
      </c>
      <c r="B328" s="18" t="s">
        <v>1054</v>
      </c>
      <c r="C328" s="7" t="s">
        <v>1055</v>
      </c>
      <c r="D328" s="14" t="s">
        <v>131</v>
      </c>
      <c r="E328" s="15">
        <v>150000</v>
      </c>
    </row>
    <row r="329" spans="1:5" x14ac:dyDescent="0.25">
      <c r="A329" s="14">
        <v>264</v>
      </c>
      <c r="B329" s="18" t="s">
        <v>627</v>
      </c>
      <c r="C329" s="7" t="s">
        <v>628</v>
      </c>
      <c r="D329" s="14" t="s">
        <v>131</v>
      </c>
      <c r="E329" s="15">
        <v>150000</v>
      </c>
    </row>
    <row r="330" spans="1:5" x14ac:dyDescent="0.25">
      <c r="A330" s="14">
        <v>265</v>
      </c>
      <c r="B330" s="18" t="s">
        <v>876</v>
      </c>
      <c r="C330" s="7" t="s">
        <v>877</v>
      </c>
      <c r="D330" s="14" t="s">
        <v>131</v>
      </c>
      <c r="E330" s="15">
        <v>150000</v>
      </c>
    </row>
    <row r="331" spans="1:5" x14ac:dyDescent="0.25">
      <c r="A331" s="14"/>
      <c r="B331" s="18" t="s">
        <v>1229</v>
      </c>
      <c r="C331" s="7" t="s">
        <v>1230</v>
      </c>
      <c r="D331" s="14" t="s">
        <v>131</v>
      </c>
      <c r="E331" s="15">
        <v>150000</v>
      </c>
    </row>
    <row r="332" spans="1:5" x14ac:dyDescent="0.25">
      <c r="A332" s="14">
        <v>266</v>
      </c>
      <c r="B332" s="18" t="s">
        <v>991</v>
      </c>
      <c r="C332" s="7" t="s">
        <v>992</v>
      </c>
      <c r="D332" s="14" t="s">
        <v>131</v>
      </c>
      <c r="E332" s="15">
        <v>150000</v>
      </c>
    </row>
    <row r="333" spans="1:5" x14ac:dyDescent="0.25">
      <c r="A333" s="14">
        <v>267</v>
      </c>
      <c r="B333" s="18" t="s">
        <v>878</v>
      </c>
      <c r="C333" s="7" t="s">
        <v>879</v>
      </c>
      <c r="D333" s="14" t="s">
        <v>131</v>
      </c>
      <c r="E333" s="15">
        <v>150000</v>
      </c>
    </row>
    <row r="334" spans="1:5" x14ac:dyDescent="0.25">
      <c r="A334" s="14"/>
      <c r="B334" s="18" t="s">
        <v>1021</v>
      </c>
      <c r="C334" s="7" t="s">
        <v>1022</v>
      </c>
      <c r="D334" s="14" t="s">
        <v>131</v>
      </c>
      <c r="E334" s="15">
        <v>150000</v>
      </c>
    </row>
    <row r="335" spans="1:5" x14ac:dyDescent="0.25">
      <c r="A335" s="14">
        <v>268</v>
      </c>
      <c r="B335" s="18" t="s">
        <v>880</v>
      </c>
      <c r="C335" s="7" t="s">
        <v>881</v>
      </c>
      <c r="D335" s="14" t="s">
        <v>131</v>
      </c>
      <c r="E335" s="15">
        <v>150000</v>
      </c>
    </row>
    <row r="336" spans="1:5" x14ac:dyDescent="0.25">
      <c r="A336" s="14">
        <v>269</v>
      </c>
      <c r="B336" s="18" t="s">
        <v>529</v>
      </c>
      <c r="C336" s="7" t="s">
        <v>882</v>
      </c>
      <c r="D336" s="14" t="s">
        <v>131</v>
      </c>
      <c r="E336" s="15">
        <v>150000</v>
      </c>
    </row>
    <row r="337" spans="1:5" x14ac:dyDescent="0.25">
      <c r="A337" s="14">
        <v>269</v>
      </c>
      <c r="B337" s="18" t="s">
        <v>1109</v>
      </c>
      <c r="C337" s="7" t="s">
        <v>1110</v>
      </c>
      <c r="D337" s="14" t="s">
        <v>131</v>
      </c>
      <c r="E337" s="15">
        <v>150000</v>
      </c>
    </row>
    <row r="338" spans="1:5" x14ac:dyDescent="0.25">
      <c r="A338" s="14">
        <v>270</v>
      </c>
      <c r="B338" s="18" t="s">
        <v>883</v>
      </c>
      <c r="C338" s="7" t="s">
        <v>884</v>
      </c>
      <c r="D338" s="14" t="s">
        <v>131</v>
      </c>
      <c r="E338" s="15">
        <v>150000</v>
      </c>
    </row>
    <row r="339" spans="1:5" x14ac:dyDescent="0.25">
      <c r="A339" s="14">
        <v>271</v>
      </c>
      <c r="B339" s="18" t="s">
        <v>614</v>
      </c>
      <c r="C339" s="7" t="s">
        <v>615</v>
      </c>
      <c r="D339" s="14" t="s">
        <v>131</v>
      </c>
      <c r="E339" s="15">
        <v>150000</v>
      </c>
    </row>
    <row r="340" spans="1:5" x14ac:dyDescent="0.25">
      <c r="A340" s="14">
        <v>272</v>
      </c>
      <c r="B340" s="18" t="s">
        <v>885</v>
      </c>
      <c r="C340" s="7" t="s">
        <v>886</v>
      </c>
      <c r="D340" s="14" t="s">
        <v>131</v>
      </c>
      <c r="E340" s="15">
        <v>150000</v>
      </c>
    </row>
    <row r="341" spans="1:5" x14ac:dyDescent="0.25">
      <c r="A341" s="14">
        <v>273</v>
      </c>
      <c r="B341" s="18" t="s">
        <v>887</v>
      </c>
      <c r="C341" s="7" t="s">
        <v>888</v>
      </c>
      <c r="D341" s="14" t="s">
        <v>131</v>
      </c>
      <c r="E341" s="15">
        <v>150000</v>
      </c>
    </row>
    <row r="342" spans="1:5" x14ac:dyDescent="0.25">
      <c r="A342" s="14">
        <v>274</v>
      </c>
      <c r="B342" s="18" t="s">
        <v>889</v>
      </c>
      <c r="C342" s="7" t="s">
        <v>890</v>
      </c>
      <c r="D342" s="14" t="s">
        <v>131</v>
      </c>
      <c r="E342" s="15">
        <v>150000</v>
      </c>
    </row>
    <row r="343" spans="1:5" x14ac:dyDescent="0.25">
      <c r="A343" s="14"/>
      <c r="B343" s="18" t="s">
        <v>1119</v>
      </c>
      <c r="C343" s="7" t="s">
        <v>1120</v>
      </c>
      <c r="D343" s="14" t="s">
        <v>131</v>
      </c>
      <c r="E343" s="15">
        <v>150000</v>
      </c>
    </row>
    <row r="344" spans="1:5" x14ac:dyDescent="0.25">
      <c r="A344" s="14"/>
      <c r="B344" s="18" t="s">
        <v>1052</v>
      </c>
      <c r="C344" s="7" t="s">
        <v>1053</v>
      </c>
      <c r="D344" s="14" t="s">
        <v>131</v>
      </c>
      <c r="E344" s="15">
        <v>150000</v>
      </c>
    </row>
    <row r="345" spans="1:5" x14ac:dyDescent="0.25">
      <c r="A345" s="14">
        <v>275</v>
      </c>
      <c r="B345" s="18" t="s">
        <v>495</v>
      </c>
      <c r="C345" s="7" t="s">
        <v>496</v>
      </c>
      <c r="D345" s="14" t="s">
        <v>131</v>
      </c>
      <c r="E345" s="15">
        <v>150000</v>
      </c>
    </row>
    <row r="346" spans="1:5" x14ac:dyDescent="0.25">
      <c r="A346" s="14">
        <v>276</v>
      </c>
      <c r="B346" s="18" t="s">
        <v>891</v>
      </c>
      <c r="C346" s="7" t="s">
        <v>892</v>
      </c>
      <c r="D346" s="14" t="s">
        <v>131</v>
      </c>
      <c r="E346" s="15">
        <v>150000</v>
      </c>
    </row>
    <row r="347" spans="1:5" x14ac:dyDescent="0.25">
      <c r="A347" s="14">
        <v>277</v>
      </c>
      <c r="B347" s="18" t="s">
        <v>391</v>
      </c>
      <c r="C347" s="7" t="s">
        <v>392</v>
      </c>
      <c r="D347" s="14" t="s">
        <v>131</v>
      </c>
      <c r="E347" s="15">
        <v>150000</v>
      </c>
    </row>
    <row r="348" spans="1:5" x14ac:dyDescent="0.25">
      <c r="A348" s="14">
        <v>278</v>
      </c>
      <c r="B348" s="18" t="s">
        <v>389</v>
      </c>
      <c r="C348" s="7" t="s">
        <v>390</v>
      </c>
      <c r="D348" s="14" t="s">
        <v>131</v>
      </c>
      <c r="E348" s="15">
        <v>150000</v>
      </c>
    </row>
    <row r="349" spans="1:5" x14ac:dyDescent="0.25">
      <c r="A349" s="14">
        <v>279</v>
      </c>
      <c r="B349" s="18" t="s">
        <v>893</v>
      </c>
      <c r="C349" s="7" t="s">
        <v>894</v>
      </c>
      <c r="D349" s="14" t="s">
        <v>131</v>
      </c>
      <c r="E349" s="15">
        <v>150000</v>
      </c>
    </row>
    <row r="350" spans="1:5" x14ac:dyDescent="0.25">
      <c r="A350" s="14">
        <v>280</v>
      </c>
      <c r="B350" s="18" t="s">
        <v>895</v>
      </c>
      <c r="C350" s="7" t="s">
        <v>896</v>
      </c>
      <c r="D350" s="14" t="s">
        <v>131</v>
      </c>
      <c r="E350" s="15">
        <v>150000</v>
      </c>
    </row>
    <row r="351" spans="1:5" x14ac:dyDescent="0.25">
      <c r="A351" s="14">
        <v>281</v>
      </c>
      <c r="B351" s="18" t="s">
        <v>897</v>
      </c>
      <c r="C351" s="7" t="s">
        <v>898</v>
      </c>
      <c r="D351" s="14" t="s">
        <v>131</v>
      </c>
      <c r="E351" s="15">
        <v>150000</v>
      </c>
    </row>
    <row r="352" spans="1:5" x14ac:dyDescent="0.25">
      <c r="A352" s="14"/>
      <c r="B352" s="18" t="s">
        <v>1069</v>
      </c>
      <c r="C352" s="7" t="s">
        <v>1070</v>
      </c>
      <c r="D352" s="14" t="s">
        <v>131</v>
      </c>
      <c r="E352" s="15">
        <v>150000</v>
      </c>
    </row>
    <row r="353" spans="1:5" x14ac:dyDescent="0.25">
      <c r="A353" s="14">
        <v>282</v>
      </c>
      <c r="B353" s="18" t="s">
        <v>899</v>
      </c>
      <c r="C353" s="7" t="s">
        <v>564</v>
      </c>
      <c r="D353" s="14" t="s">
        <v>131</v>
      </c>
      <c r="E353" s="15">
        <v>150000</v>
      </c>
    </row>
    <row r="354" spans="1:5" x14ac:dyDescent="0.25">
      <c r="A354" s="14">
        <v>283</v>
      </c>
      <c r="B354" s="18" t="s">
        <v>900</v>
      </c>
      <c r="C354" s="7" t="s">
        <v>901</v>
      </c>
      <c r="D354" s="14" t="s">
        <v>131</v>
      </c>
      <c r="E354" s="15">
        <v>200000</v>
      </c>
    </row>
    <row r="355" spans="1:5" x14ac:dyDescent="0.25">
      <c r="A355" s="14">
        <v>284</v>
      </c>
      <c r="B355" s="18" t="s">
        <v>902</v>
      </c>
      <c r="C355" s="7" t="s">
        <v>903</v>
      </c>
      <c r="D355" s="14" t="s">
        <v>131</v>
      </c>
      <c r="E355" s="15">
        <v>200000</v>
      </c>
    </row>
    <row r="356" spans="1:5" x14ac:dyDescent="0.25">
      <c r="A356" s="14">
        <v>285</v>
      </c>
      <c r="B356" s="18" t="s">
        <v>904</v>
      </c>
      <c r="C356" s="7" t="s">
        <v>905</v>
      </c>
      <c r="D356" s="14" t="s">
        <v>131</v>
      </c>
      <c r="E356" s="15">
        <v>200000</v>
      </c>
    </row>
    <row r="357" spans="1:5" x14ac:dyDescent="0.25">
      <c r="A357" s="14">
        <v>286</v>
      </c>
      <c r="B357" s="18" t="s">
        <v>906</v>
      </c>
      <c r="C357" s="7" t="s">
        <v>907</v>
      </c>
      <c r="D357" s="14" t="s">
        <v>131</v>
      </c>
      <c r="E357" s="15">
        <v>255000</v>
      </c>
    </row>
    <row r="358" spans="1:5" x14ac:dyDescent="0.25">
      <c r="A358" s="14">
        <v>287</v>
      </c>
      <c r="B358" s="18" t="s">
        <v>908</v>
      </c>
      <c r="C358" s="7" t="s">
        <v>909</v>
      </c>
      <c r="D358" s="14" t="s">
        <v>131</v>
      </c>
      <c r="E358" s="15">
        <v>200000</v>
      </c>
    </row>
    <row r="359" spans="1:5" x14ac:dyDescent="0.25">
      <c r="A359" s="14">
        <v>288</v>
      </c>
      <c r="B359" s="18" t="s">
        <v>910</v>
      </c>
      <c r="C359" s="7" t="s">
        <v>911</v>
      </c>
      <c r="D359" s="14" t="s">
        <v>131</v>
      </c>
      <c r="E359" s="15">
        <v>200000</v>
      </c>
    </row>
    <row r="360" spans="1:5" x14ac:dyDescent="0.25">
      <c r="A360" s="14">
        <v>289</v>
      </c>
      <c r="B360" s="18" t="s">
        <v>652</v>
      </c>
      <c r="C360" s="7" t="s">
        <v>652</v>
      </c>
      <c r="D360" s="14" t="s">
        <v>131</v>
      </c>
      <c r="E360" s="15">
        <v>150000</v>
      </c>
    </row>
    <row r="361" spans="1:5" x14ac:dyDescent="0.25">
      <c r="A361" s="14">
        <v>290</v>
      </c>
      <c r="B361" s="18" t="s">
        <v>912</v>
      </c>
      <c r="C361" s="7" t="s">
        <v>912</v>
      </c>
      <c r="D361" s="14" t="s">
        <v>131</v>
      </c>
      <c r="E361" s="15">
        <v>150000</v>
      </c>
    </row>
    <row r="362" spans="1:5" x14ac:dyDescent="0.25">
      <c r="A362" s="14">
        <v>291</v>
      </c>
      <c r="B362" s="18" t="s">
        <v>913</v>
      </c>
      <c r="C362" s="7" t="s">
        <v>913</v>
      </c>
      <c r="D362" s="14" t="s">
        <v>131</v>
      </c>
      <c r="E362" s="15">
        <v>150000</v>
      </c>
    </row>
    <row r="363" spans="1:5" x14ac:dyDescent="0.25">
      <c r="A363" s="14">
        <v>292</v>
      </c>
      <c r="B363" s="18" t="s">
        <v>620</v>
      </c>
      <c r="C363" s="7" t="s">
        <v>621</v>
      </c>
      <c r="D363" s="14" t="s">
        <v>131</v>
      </c>
      <c r="E363" s="15">
        <v>150000</v>
      </c>
    </row>
    <row r="364" spans="1:5" x14ac:dyDescent="0.25">
      <c r="A364" s="14">
        <v>293</v>
      </c>
      <c r="B364" s="18" t="s">
        <v>914</v>
      </c>
      <c r="C364" s="7" t="s">
        <v>914</v>
      </c>
      <c r="D364" s="14" t="s">
        <v>131</v>
      </c>
      <c r="E364" s="15">
        <v>150000</v>
      </c>
    </row>
    <row r="365" spans="1:5" x14ac:dyDescent="0.25">
      <c r="A365" s="14">
        <v>294</v>
      </c>
      <c r="B365" s="18" t="s">
        <v>639</v>
      </c>
      <c r="C365" s="7" t="s">
        <v>639</v>
      </c>
      <c r="D365" s="14" t="s">
        <v>131</v>
      </c>
      <c r="E365" s="15">
        <v>150000</v>
      </c>
    </row>
    <row r="366" spans="1:5" x14ac:dyDescent="0.25">
      <c r="A366" s="14">
        <v>295</v>
      </c>
      <c r="B366" s="18" t="s">
        <v>915</v>
      </c>
      <c r="C366" s="7" t="s">
        <v>916</v>
      </c>
      <c r="D366" s="14" t="s">
        <v>131</v>
      </c>
      <c r="E366" s="15">
        <v>150000</v>
      </c>
    </row>
    <row r="367" spans="1:5" x14ac:dyDescent="0.25">
      <c r="A367" s="14">
        <v>296</v>
      </c>
      <c r="B367" s="18" t="s">
        <v>917</v>
      </c>
      <c r="C367" s="7" t="s">
        <v>917</v>
      </c>
      <c r="D367" s="14" t="s">
        <v>131</v>
      </c>
      <c r="E367" s="15">
        <v>150000</v>
      </c>
    </row>
    <row r="368" spans="1:5" x14ac:dyDescent="0.25">
      <c r="A368" s="14">
        <v>297</v>
      </c>
      <c r="B368" s="18" t="s">
        <v>918</v>
      </c>
      <c r="C368" s="7" t="s">
        <v>919</v>
      </c>
      <c r="D368" s="14" t="s">
        <v>131</v>
      </c>
      <c r="E368" s="15">
        <v>150000</v>
      </c>
    </row>
    <row r="369" spans="1:5" x14ac:dyDescent="0.25">
      <c r="A369" s="14">
        <v>298</v>
      </c>
      <c r="B369" s="18" t="s">
        <v>920</v>
      </c>
      <c r="C369" s="7" t="s">
        <v>921</v>
      </c>
      <c r="D369" s="14" t="s">
        <v>131</v>
      </c>
      <c r="E369" s="15">
        <v>150000</v>
      </c>
    </row>
    <row r="370" spans="1:5" x14ac:dyDescent="0.25">
      <c r="A370" s="14">
        <v>299</v>
      </c>
      <c r="B370" s="18" t="s">
        <v>922</v>
      </c>
      <c r="C370" s="7" t="s">
        <v>923</v>
      </c>
      <c r="D370" s="14" t="s">
        <v>131</v>
      </c>
      <c r="E370" s="15">
        <v>150000</v>
      </c>
    </row>
    <row r="371" spans="1:5" x14ac:dyDescent="0.25">
      <c r="A371" s="14">
        <v>300</v>
      </c>
      <c r="B371" s="18" t="s">
        <v>924</v>
      </c>
      <c r="C371" s="7" t="s">
        <v>925</v>
      </c>
      <c r="D371" s="14" t="s">
        <v>131</v>
      </c>
      <c r="E371" s="15">
        <v>150000</v>
      </c>
    </row>
    <row r="372" spans="1:5" x14ac:dyDescent="0.25">
      <c r="A372" s="14">
        <v>301</v>
      </c>
      <c r="B372" s="18" t="s">
        <v>656</v>
      </c>
      <c r="C372" s="7" t="s">
        <v>656</v>
      </c>
      <c r="D372" s="14" t="s">
        <v>131</v>
      </c>
      <c r="E372" s="15">
        <v>55000</v>
      </c>
    </row>
    <row r="373" spans="1:5" x14ac:dyDescent="0.25">
      <c r="A373" s="14"/>
      <c r="B373" s="18" t="s">
        <v>1231</v>
      </c>
      <c r="C373" s="7" t="s">
        <v>1232</v>
      </c>
      <c r="D373" s="14" t="s">
        <v>131</v>
      </c>
      <c r="E373" s="15">
        <v>65000</v>
      </c>
    </row>
    <row r="374" spans="1:5" x14ac:dyDescent="0.25">
      <c r="A374" s="14"/>
      <c r="B374" s="18" t="s">
        <v>1233</v>
      </c>
      <c r="C374" s="7" t="s">
        <v>1234</v>
      </c>
      <c r="D374" s="14" t="s">
        <v>131</v>
      </c>
      <c r="E374" s="15">
        <v>75000</v>
      </c>
    </row>
    <row r="375" spans="1:5" x14ac:dyDescent="0.25">
      <c r="A375" s="14">
        <v>302</v>
      </c>
      <c r="B375" s="18" t="s">
        <v>926</v>
      </c>
      <c r="C375" s="7" t="s">
        <v>927</v>
      </c>
      <c r="D375" s="14" t="s">
        <v>131</v>
      </c>
      <c r="E375" s="15">
        <v>150000</v>
      </c>
    </row>
    <row r="376" spans="1:5" x14ac:dyDescent="0.25">
      <c r="A376" s="14">
        <v>303</v>
      </c>
      <c r="B376" s="18" t="s">
        <v>928</v>
      </c>
      <c r="C376" s="7" t="s">
        <v>929</v>
      </c>
      <c r="D376" s="14" t="s">
        <v>131</v>
      </c>
      <c r="E376" s="15">
        <v>150000</v>
      </c>
    </row>
    <row r="377" spans="1:5" x14ac:dyDescent="0.25">
      <c r="A377" s="14">
        <v>304</v>
      </c>
      <c r="B377" s="18" t="s">
        <v>930</v>
      </c>
      <c r="C377" s="7" t="s">
        <v>931</v>
      </c>
      <c r="D377" s="14" t="s">
        <v>131</v>
      </c>
      <c r="E377" s="15">
        <v>150000</v>
      </c>
    </row>
    <row r="378" spans="1:5" x14ac:dyDescent="0.25">
      <c r="A378" s="14">
        <v>305</v>
      </c>
      <c r="B378" s="18" t="s">
        <v>932</v>
      </c>
      <c r="C378" s="7" t="s">
        <v>933</v>
      </c>
      <c r="D378" s="14" t="s">
        <v>131</v>
      </c>
      <c r="E378" s="15">
        <v>150000</v>
      </c>
    </row>
    <row r="379" spans="1:5" x14ac:dyDescent="0.25">
      <c r="A379" s="14"/>
      <c r="B379" s="18" t="s">
        <v>1157</v>
      </c>
      <c r="C379" s="7" t="s">
        <v>1158</v>
      </c>
      <c r="D379" s="14" t="s">
        <v>131</v>
      </c>
      <c r="E379" s="15">
        <v>150000</v>
      </c>
    </row>
    <row r="380" spans="1:5" x14ac:dyDescent="0.25">
      <c r="A380" s="14" t="s">
        <v>1167</v>
      </c>
      <c r="B380" s="18" t="s">
        <v>1168</v>
      </c>
      <c r="C380" s="7" t="s">
        <v>1178</v>
      </c>
      <c r="D380" s="14" t="s">
        <v>174</v>
      </c>
      <c r="E380" s="15">
        <v>150000</v>
      </c>
    </row>
    <row r="381" spans="1:5" x14ac:dyDescent="0.25">
      <c r="A381" s="14"/>
      <c r="B381" s="18" t="s">
        <v>1169</v>
      </c>
      <c r="C381" s="7" t="s">
        <v>1179</v>
      </c>
      <c r="D381" s="14" t="s">
        <v>174</v>
      </c>
      <c r="E381" s="15">
        <v>150000</v>
      </c>
    </row>
    <row r="382" spans="1:5" x14ac:dyDescent="0.25">
      <c r="A382" s="14"/>
      <c r="B382" s="18" t="s">
        <v>1170</v>
      </c>
      <c r="C382" s="7" t="s">
        <v>1180</v>
      </c>
      <c r="D382" s="14" t="s">
        <v>174</v>
      </c>
      <c r="E382" s="15">
        <v>150000</v>
      </c>
    </row>
    <row r="383" spans="1:5" x14ac:dyDescent="0.25">
      <c r="A383" s="14"/>
      <c r="B383" s="18" t="s">
        <v>1171</v>
      </c>
      <c r="C383" s="7" t="s">
        <v>1158</v>
      </c>
      <c r="D383" s="14" t="s">
        <v>174</v>
      </c>
      <c r="E383" s="15">
        <v>150000</v>
      </c>
    </row>
    <row r="384" spans="1:5" x14ac:dyDescent="0.25">
      <c r="A384" s="14"/>
      <c r="B384" s="18" t="s">
        <v>1172</v>
      </c>
      <c r="C384" s="7" t="s">
        <v>1173</v>
      </c>
      <c r="D384" s="14" t="s">
        <v>174</v>
      </c>
      <c r="E384" s="15">
        <v>150000</v>
      </c>
    </row>
    <row r="385" spans="1:12" x14ac:dyDescent="0.25">
      <c r="A385" s="14"/>
      <c r="B385" s="18" t="s">
        <v>1174</v>
      </c>
      <c r="C385" s="7" t="s">
        <v>1175</v>
      </c>
      <c r="D385" s="14" t="s">
        <v>174</v>
      </c>
      <c r="E385" s="15">
        <v>150000</v>
      </c>
    </row>
    <row r="386" spans="1:12" x14ac:dyDescent="0.25">
      <c r="A386" s="14"/>
      <c r="B386" s="18" t="s">
        <v>1176</v>
      </c>
      <c r="C386" s="7" t="s">
        <v>1177</v>
      </c>
      <c r="D386" s="14" t="s">
        <v>174</v>
      </c>
      <c r="E386" s="15">
        <v>150000</v>
      </c>
    </row>
    <row r="387" spans="1:12" x14ac:dyDescent="0.25">
      <c r="A387" s="14"/>
      <c r="B387" s="18" t="s">
        <v>1192</v>
      </c>
      <c r="C387" s="7" t="s">
        <v>1191</v>
      </c>
      <c r="D387" s="14" t="s">
        <v>174</v>
      </c>
      <c r="E387" s="15">
        <v>150000</v>
      </c>
    </row>
    <row r="388" spans="1:12" x14ac:dyDescent="0.25">
      <c r="A388" s="14"/>
      <c r="B388" s="18" t="s">
        <v>1197</v>
      </c>
      <c r="C388" s="7" t="s">
        <v>1198</v>
      </c>
      <c r="D388" s="14" t="s">
        <v>174</v>
      </c>
      <c r="E388" s="15">
        <v>150000</v>
      </c>
    </row>
    <row r="389" spans="1:12" x14ac:dyDescent="0.25">
      <c r="A389" s="14"/>
      <c r="B389" s="18" t="s">
        <v>1220</v>
      </c>
      <c r="C389" s="7" t="s">
        <v>1221</v>
      </c>
      <c r="D389" s="14" t="s">
        <v>174</v>
      </c>
      <c r="E389" s="15">
        <v>150000</v>
      </c>
    </row>
    <row r="390" spans="1:12" x14ac:dyDescent="0.25">
      <c r="A390" s="14"/>
      <c r="B390" s="18"/>
      <c r="C390" s="7"/>
      <c r="D390" s="14"/>
      <c r="E390" s="15"/>
    </row>
    <row r="391" spans="1:12" x14ac:dyDescent="0.25">
      <c r="A391" s="14"/>
      <c r="B391" s="18"/>
      <c r="C391" s="7"/>
      <c r="D391" s="14"/>
      <c r="E391" s="15"/>
    </row>
    <row r="392" spans="1:12" x14ac:dyDescent="0.25">
      <c r="A392" s="14"/>
      <c r="B392" s="18"/>
      <c r="C392" s="7"/>
      <c r="D392" s="14"/>
      <c r="E392" s="15"/>
    </row>
    <row r="393" spans="1:12" x14ac:dyDescent="0.25">
      <c r="A393" s="14"/>
      <c r="B393" s="18" t="s">
        <v>1212</v>
      </c>
      <c r="C393" s="7" t="s">
        <v>1213</v>
      </c>
      <c r="D393" s="14" t="s">
        <v>174</v>
      </c>
      <c r="E393" s="15">
        <v>150000</v>
      </c>
    </row>
    <row r="394" spans="1:12" x14ac:dyDescent="0.25">
      <c r="A394" s="14">
        <v>306</v>
      </c>
      <c r="B394" s="18" t="s">
        <v>934</v>
      </c>
      <c r="C394" s="7" t="s">
        <v>934</v>
      </c>
      <c r="D394" s="14" t="s">
        <v>131</v>
      </c>
      <c r="E394" s="15">
        <v>150000</v>
      </c>
    </row>
    <row r="395" spans="1:12" ht="17.399999999999999" x14ac:dyDescent="0.3">
      <c r="A395" s="14">
        <v>307</v>
      </c>
      <c r="B395" s="18" t="s">
        <v>935</v>
      </c>
      <c r="C395" s="7" t="s">
        <v>935</v>
      </c>
      <c r="D395" s="14" t="s">
        <v>131</v>
      </c>
      <c r="E395" s="15">
        <v>150000</v>
      </c>
      <c r="H395" s="82" t="s">
        <v>1239</v>
      </c>
      <c r="I395" s="82"/>
      <c r="J395" s="82"/>
      <c r="K395" s="82"/>
      <c r="L395" s="82"/>
    </row>
    <row r="396" spans="1:12" x14ac:dyDescent="0.25">
      <c r="A396" s="14">
        <v>308</v>
      </c>
      <c r="B396" s="18" t="s">
        <v>936</v>
      </c>
      <c r="C396" s="7" t="s">
        <v>936</v>
      </c>
      <c r="D396" s="14" t="s">
        <v>131</v>
      </c>
      <c r="E396" s="15">
        <v>150000</v>
      </c>
    </row>
    <row r="397" spans="1:12" x14ac:dyDescent="0.25">
      <c r="A397" s="14">
        <v>309</v>
      </c>
      <c r="B397" s="18" t="s">
        <v>583</v>
      </c>
      <c r="C397" s="7" t="s">
        <v>572</v>
      </c>
      <c r="D397" s="14" t="s">
        <v>131</v>
      </c>
      <c r="E397" s="15">
        <v>120000</v>
      </c>
      <c r="H397" s="16" t="s">
        <v>11</v>
      </c>
      <c r="I397" s="20" t="s">
        <v>1236</v>
      </c>
      <c r="J397" s="16" t="s">
        <v>113</v>
      </c>
      <c r="K397" s="16" t="s">
        <v>542</v>
      </c>
      <c r="L397" s="16" t="s">
        <v>1240</v>
      </c>
    </row>
    <row r="398" spans="1:12" x14ac:dyDescent="0.25">
      <c r="A398" s="14">
        <v>310</v>
      </c>
      <c r="B398" s="18" t="s">
        <v>584</v>
      </c>
      <c r="C398" s="7" t="s">
        <v>571</v>
      </c>
      <c r="D398" s="14" t="s">
        <v>131</v>
      </c>
      <c r="E398" s="15">
        <v>120000</v>
      </c>
      <c r="H398" s="14">
        <v>1</v>
      </c>
      <c r="I398" s="18" t="s">
        <v>583</v>
      </c>
      <c r="J398" s="7" t="s">
        <v>572</v>
      </c>
      <c r="K398" s="14" t="s">
        <v>131</v>
      </c>
      <c r="L398" s="70">
        <v>120000</v>
      </c>
    </row>
    <row r="399" spans="1:12" x14ac:dyDescent="0.25">
      <c r="A399" s="14">
        <v>311</v>
      </c>
      <c r="B399" s="18" t="s">
        <v>585</v>
      </c>
      <c r="C399" s="7" t="s">
        <v>576</v>
      </c>
      <c r="D399" s="14" t="s">
        <v>131</v>
      </c>
      <c r="E399" s="15">
        <v>120000</v>
      </c>
      <c r="H399" s="14">
        <v>2</v>
      </c>
      <c r="I399" s="18" t="s">
        <v>584</v>
      </c>
      <c r="J399" s="7" t="s">
        <v>571</v>
      </c>
      <c r="K399" s="14" t="s">
        <v>131</v>
      </c>
      <c r="L399" s="70">
        <v>120000</v>
      </c>
    </row>
    <row r="400" spans="1:12" x14ac:dyDescent="0.25">
      <c r="A400" s="14">
        <v>312</v>
      </c>
      <c r="B400" s="18" t="s">
        <v>586</v>
      </c>
      <c r="C400" s="7" t="s">
        <v>581</v>
      </c>
      <c r="D400" s="14" t="s">
        <v>131</v>
      </c>
      <c r="E400" s="15">
        <v>120000</v>
      </c>
      <c r="H400" s="14">
        <v>3</v>
      </c>
      <c r="I400" s="18" t="s">
        <v>585</v>
      </c>
      <c r="J400" s="7" t="s">
        <v>576</v>
      </c>
      <c r="K400" s="14" t="s">
        <v>131</v>
      </c>
      <c r="L400" s="70">
        <v>120000</v>
      </c>
    </row>
    <row r="401" spans="1:12" x14ac:dyDescent="0.25">
      <c r="A401" s="14">
        <v>313</v>
      </c>
      <c r="B401" s="18" t="s">
        <v>587</v>
      </c>
      <c r="C401" s="7" t="s">
        <v>575</v>
      </c>
      <c r="D401" s="14" t="s">
        <v>131</v>
      </c>
      <c r="E401" s="15">
        <v>160000</v>
      </c>
      <c r="H401" s="14">
        <v>4</v>
      </c>
      <c r="I401" s="18" t="s">
        <v>586</v>
      </c>
      <c r="J401" s="7" t="s">
        <v>581</v>
      </c>
      <c r="K401" s="14" t="s">
        <v>131</v>
      </c>
      <c r="L401" s="70">
        <v>120000</v>
      </c>
    </row>
    <row r="402" spans="1:12" x14ac:dyDescent="0.25">
      <c r="A402" s="14">
        <v>314</v>
      </c>
      <c r="B402" s="18" t="s">
        <v>588</v>
      </c>
      <c r="C402" s="7" t="s">
        <v>99</v>
      </c>
      <c r="D402" s="14" t="s">
        <v>131</v>
      </c>
      <c r="E402" s="15">
        <v>140000</v>
      </c>
      <c r="H402" s="14">
        <v>5</v>
      </c>
      <c r="I402" s="25" t="s">
        <v>598</v>
      </c>
      <c r="J402" s="7" t="s">
        <v>96</v>
      </c>
      <c r="K402" s="14" t="s">
        <v>131</v>
      </c>
      <c r="L402" s="15">
        <v>140000</v>
      </c>
    </row>
    <row r="403" spans="1:12" x14ac:dyDescent="0.25">
      <c r="A403" s="14">
        <v>315</v>
      </c>
      <c r="B403" s="18" t="s">
        <v>589</v>
      </c>
      <c r="C403" s="7" t="s">
        <v>582</v>
      </c>
      <c r="D403" s="14" t="s">
        <v>131</v>
      </c>
      <c r="E403" s="15">
        <v>220000</v>
      </c>
      <c r="H403" s="14">
        <v>6</v>
      </c>
      <c r="I403" s="7" t="s">
        <v>599</v>
      </c>
      <c r="J403" s="7" t="s">
        <v>95</v>
      </c>
      <c r="K403" s="14" t="s">
        <v>131</v>
      </c>
      <c r="L403" s="15">
        <v>140000</v>
      </c>
    </row>
    <row r="404" spans="1:12" x14ac:dyDescent="0.25">
      <c r="A404" s="14">
        <v>316</v>
      </c>
      <c r="B404" s="18" t="s">
        <v>590</v>
      </c>
      <c r="C404" s="7" t="s">
        <v>591</v>
      </c>
      <c r="D404" s="14" t="s">
        <v>131</v>
      </c>
      <c r="E404" s="15">
        <v>220000</v>
      </c>
      <c r="H404" s="14">
        <v>7</v>
      </c>
      <c r="I404" s="7" t="s">
        <v>600</v>
      </c>
      <c r="J404" s="7" t="s">
        <v>93</v>
      </c>
      <c r="K404" s="14" t="s">
        <v>131</v>
      </c>
      <c r="L404" s="15">
        <v>140000</v>
      </c>
    </row>
    <row r="405" spans="1:12" x14ac:dyDescent="0.25">
      <c r="A405" s="14"/>
      <c r="B405" s="18" t="s">
        <v>1225</v>
      </c>
      <c r="C405" s="7" t="s">
        <v>582</v>
      </c>
      <c r="D405" s="14" t="s">
        <v>131</v>
      </c>
      <c r="E405" s="15">
        <v>180000</v>
      </c>
      <c r="H405" s="14">
        <v>8</v>
      </c>
      <c r="I405" s="25" t="s">
        <v>939</v>
      </c>
      <c r="J405" s="7" t="s">
        <v>92</v>
      </c>
      <c r="K405" s="14" t="s">
        <v>131</v>
      </c>
      <c r="L405" s="15">
        <v>140000</v>
      </c>
    </row>
    <row r="406" spans="1:12" x14ac:dyDescent="0.25">
      <c r="A406" s="14"/>
      <c r="B406" s="18" t="s">
        <v>1226</v>
      </c>
      <c r="C406" s="7" t="s">
        <v>591</v>
      </c>
      <c r="D406" s="14" t="s">
        <v>131</v>
      </c>
      <c r="E406" s="15">
        <v>160000</v>
      </c>
      <c r="H406" s="14">
        <v>9</v>
      </c>
      <c r="I406" s="7" t="s">
        <v>601</v>
      </c>
      <c r="J406" s="7" t="s">
        <v>322</v>
      </c>
      <c r="K406" s="14" t="s">
        <v>131</v>
      </c>
      <c r="L406" s="15">
        <v>140000</v>
      </c>
    </row>
    <row r="407" spans="1:12" x14ac:dyDescent="0.25">
      <c r="A407" s="14"/>
      <c r="B407" s="18" t="s">
        <v>1255</v>
      </c>
      <c r="C407" s="7" t="s">
        <v>572</v>
      </c>
      <c r="D407" s="14" t="s">
        <v>131</v>
      </c>
      <c r="E407" s="15">
        <v>140000</v>
      </c>
      <c r="H407" s="14"/>
      <c r="I407" s="7"/>
      <c r="J407" s="7"/>
      <c r="K407" s="14"/>
      <c r="L407" s="15"/>
    </row>
    <row r="408" spans="1:12" x14ac:dyDescent="0.25">
      <c r="A408" s="14"/>
      <c r="B408" s="18" t="s">
        <v>1256</v>
      </c>
      <c r="C408" s="7" t="s">
        <v>571</v>
      </c>
      <c r="D408" s="14" t="s">
        <v>131</v>
      </c>
      <c r="E408" s="15">
        <v>140000</v>
      </c>
      <c r="H408" s="14"/>
      <c r="I408" s="7"/>
      <c r="J408" s="7"/>
      <c r="K408" s="14"/>
      <c r="L408" s="15"/>
    </row>
    <row r="409" spans="1:12" x14ac:dyDescent="0.25">
      <c r="A409" s="14"/>
      <c r="B409" s="18" t="s">
        <v>1257</v>
      </c>
      <c r="C409" s="7" t="s">
        <v>576</v>
      </c>
      <c r="D409" s="14" t="s">
        <v>131</v>
      </c>
      <c r="E409" s="15">
        <v>140000</v>
      </c>
      <c r="H409" s="14"/>
      <c r="I409" s="7"/>
      <c r="J409" s="7"/>
      <c r="K409" s="14"/>
      <c r="L409" s="15"/>
    </row>
    <row r="410" spans="1:12" x14ac:dyDescent="0.25">
      <c r="A410" s="14"/>
      <c r="B410" s="18" t="s">
        <v>1258</v>
      </c>
      <c r="C410" s="7" t="s">
        <v>581</v>
      </c>
      <c r="D410" s="14" t="s">
        <v>131</v>
      </c>
      <c r="E410" s="15">
        <v>140000</v>
      </c>
      <c r="H410" s="14"/>
      <c r="I410" s="7"/>
      <c r="J410" s="7"/>
      <c r="K410" s="14"/>
      <c r="L410" s="15"/>
    </row>
    <row r="411" spans="1:12" x14ac:dyDescent="0.25">
      <c r="A411" s="14"/>
      <c r="B411" s="18" t="s">
        <v>1259</v>
      </c>
      <c r="C411" s="7" t="s">
        <v>575</v>
      </c>
      <c r="D411" s="14" t="s">
        <v>131</v>
      </c>
      <c r="E411" s="15">
        <v>180000</v>
      </c>
      <c r="H411" s="14"/>
      <c r="I411" s="7"/>
      <c r="J411" s="7"/>
      <c r="K411" s="14"/>
      <c r="L411" s="15"/>
    </row>
    <row r="412" spans="1:12" x14ac:dyDescent="0.25">
      <c r="A412" s="14"/>
      <c r="B412" s="18" t="s">
        <v>1260</v>
      </c>
      <c r="C412" s="7" t="s">
        <v>99</v>
      </c>
      <c r="D412" s="14" t="s">
        <v>131</v>
      </c>
      <c r="E412" s="15">
        <v>160000</v>
      </c>
      <c r="H412" s="14"/>
      <c r="I412" s="7"/>
      <c r="J412" s="7"/>
      <c r="K412" s="14"/>
      <c r="L412" s="15"/>
    </row>
    <row r="413" spans="1:12" x14ac:dyDescent="0.25">
      <c r="A413" s="14"/>
      <c r="B413" s="18" t="s">
        <v>1261</v>
      </c>
      <c r="C413" s="7" t="s">
        <v>582</v>
      </c>
      <c r="D413" s="14" t="s">
        <v>131</v>
      </c>
      <c r="E413" s="15">
        <v>220000</v>
      </c>
      <c r="H413" s="14">
        <v>10</v>
      </c>
      <c r="I413" s="26" t="s">
        <v>602</v>
      </c>
      <c r="J413" s="7" t="s">
        <v>94</v>
      </c>
      <c r="K413" s="14" t="s">
        <v>131</v>
      </c>
      <c r="L413" s="15">
        <v>140000</v>
      </c>
    </row>
    <row r="414" spans="1:12" x14ac:dyDescent="0.25">
      <c r="A414" s="14"/>
      <c r="B414" s="18" t="s">
        <v>1254</v>
      </c>
      <c r="C414" s="7" t="s">
        <v>591</v>
      </c>
      <c r="D414" s="14" t="s">
        <v>131</v>
      </c>
      <c r="E414" s="15">
        <v>220000</v>
      </c>
      <c r="H414" s="14">
        <v>11</v>
      </c>
      <c r="I414" s="18" t="s">
        <v>594</v>
      </c>
      <c r="J414" s="7" t="s">
        <v>595</v>
      </c>
      <c r="K414" s="14" t="s">
        <v>131</v>
      </c>
      <c r="L414" s="15">
        <v>200000</v>
      </c>
    </row>
    <row r="415" spans="1:12" x14ac:dyDescent="0.25">
      <c r="A415" s="14"/>
      <c r="B415" s="18"/>
      <c r="C415" s="7"/>
      <c r="D415" s="14"/>
      <c r="E415" s="15"/>
      <c r="H415" s="14">
        <v>12</v>
      </c>
      <c r="I415" s="18" t="s">
        <v>596</v>
      </c>
      <c r="J415" s="7" t="s">
        <v>597</v>
      </c>
      <c r="K415" s="14" t="s">
        <v>131</v>
      </c>
      <c r="L415" s="15">
        <v>200000</v>
      </c>
    </row>
    <row r="416" spans="1:12" x14ac:dyDescent="0.25">
      <c r="A416" s="14">
        <v>317</v>
      </c>
      <c r="B416" s="18" t="s">
        <v>1242</v>
      </c>
      <c r="C416" s="7" t="s">
        <v>592</v>
      </c>
      <c r="D416" s="14" t="s">
        <v>131</v>
      </c>
      <c r="E416" s="15">
        <v>180000</v>
      </c>
      <c r="H416" s="14">
        <v>13</v>
      </c>
      <c r="I416" s="18" t="s">
        <v>587</v>
      </c>
      <c r="J416" s="7" t="s">
        <v>575</v>
      </c>
      <c r="K416" s="14" t="s">
        <v>131</v>
      </c>
      <c r="L416" s="70">
        <v>160000</v>
      </c>
    </row>
    <row r="417" spans="1:12" x14ac:dyDescent="0.25">
      <c r="A417" s="14">
        <v>318</v>
      </c>
      <c r="B417" s="18" t="s">
        <v>1243</v>
      </c>
      <c r="C417" s="7" t="s">
        <v>593</v>
      </c>
      <c r="D417" s="14" t="s">
        <v>131</v>
      </c>
      <c r="E417" s="15">
        <v>160000</v>
      </c>
      <c r="H417" s="14">
        <v>14</v>
      </c>
      <c r="I417" s="18" t="s">
        <v>588</v>
      </c>
      <c r="J417" s="7" t="s">
        <v>99</v>
      </c>
      <c r="K417" s="14" t="s">
        <v>131</v>
      </c>
      <c r="L417" s="70">
        <v>140000</v>
      </c>
    </row>
    <row r="418" spans="1:12" x14ac:dyDescent="0.25">
      <c r="A418" s="14">
        <v>319</v>
      </c>
      <c r="B418" s="18" t="s">
        <v>1244</v>
      </c>
      <c r="C418" s="7" t="s">
        <v>595</v>
      </c>
      <c r="D418" s="14" t="s">
        <v>131</v>
      </c>
      <c r="E418" s="15">
        <v>220000</v>
      </c>
      <c r="H418" s="14">
        <v>15</v>
      </c>
      <c r="I418" s="18" t="s">
        <v>589</v>
      </c>
      <c r="J418" s="7" t="s">
        <v>582</v>
      </c>
      <c r="K418" s="14" t="s">
        <v>131</v>
      </c>
      <c r="L418" s="70">
        <v>200000</v>
      </c>
    </row>
    <row r="419" spans="1:12" x14ac:dyDescent="0.25">
      <c r="A419" s="14">
        <v>320</v>
      </c>
      <c r="B419" s="18" t="s">
        <v>1245</v>
      </c>
      <c r="C419" s="7" t="s">
        <v>597</v>
      </c>
      <c r="D419" s="14" t="s">
        <v>131</v>
      </c>
      <c r="E419" s="15">
        <v>220000</v>
      </c>
      <c r="H419" s="14">
        <v>16</v>
      </c>
      <c r="I419" s="18" t="s">
        <v>590</v>
      </c>
      <c r="J419" s="7" t="s">
        <v>591</v>
      </c>
      <c r="K419" s="14" t="s">
        <v>131</v>
      </c>
      <c r="L419" s="70">
        <v>200000</v>
      </c>
    </row>
    <row r="420" spans="1:12" x14ac:dyDescent="0.25">
      <c r="A420" s="14"/>
      <c r="B420" s="18" t="s">
        <v>1246</v>
      </c>
      <c r="C420" s="7" t="s">
        <v>595</v>
      </c>
      <c r="D420" s="14" t="s">
        <v>131</v>
      </c>
      <c r="E420" s="15">
        <v>140000</v>
      </c>
      <c r="H420" s="14">
        <v>17</v>
      </c>
      <c r="I420" s="7" t="s">
        <v>1237</v>
      </c>
      <c r="J420" s="7" t="s">
        <v>1238</v>
      </c>
      <c r="K420" s="14" t="s">
        <v>131</v>
      </c>
      <c r="L420" s="70">
        <v>55000</v>
      </c>
    </row>
    <row r="421" spans="1:12" x14ac:dyDescent="0.25">
      <c r="A421" s="14"/>
      <c r="B421" s="18" t="s">
        <v>1247</v>
      </c>
      <c r="C421" s="7" t="s">
        <v>591</v>
      </c>
      <c r="D421" s="14" t="s">
        <v>131</v>
      </c>
      <c r="E421" s="15">
        <v>140000</v>
      </c>
    </row>
    <row r="422" spans="1:12" hidden="1" x14ac:dyDescent="0.25">
      <c r="A422" s="14"/>
      <c r="B422" s="18"/>
      <c r="C422" s="7"/>
      <c r="D422" s="14"/>
      <c r="E422" s="15"/>
    </row>
    <row r="423" spans="1:12" hidden="1" x14ac:dyDescent="0.25">
      <c r="A423" s="14"/>
      <c r="B423" s="18"/>
      <c r="C423" s="7"/>
      <c r="D423" s="14"/>
      <c r="E423" s="15"/>
    </row>
    <row r="424" spans="1:12" hidden="1" x14ac:dyDescent="0.25">
      <c r="A424" s="14">
        <v>321</v>
      </c>
      <c r="B424" s="18" t="s">
        <v>937</v>
      </c>
      <c r="C424" s="7" t="s">
        <v>938</v>
      </c>
      <c r="D424" s="14" t="s">
        <v>131</v>
      </c>
      <c r="E424" s="15">
        <v>150000</v>
      </c>
    </row>
    <row r="425" spans="1:12" ht="17.399999999999999" x14ac:dyDescent="0.3">
      <c r="A425" s="14">
        <v>322</v>
      </c>
      <c r="B425" s="25" t="s">
        <v>1248</v>
      </c>
      <c r="C425" s="7" t="s">
        <v>96</v>
      </c>
      <c r="D425" s="14" t="s">
        <v>131</v>
      </c>
      <c r="E425" s="15">
        <v>160000</v>
      </c>
      <c r="H425" s="42" t="s">
        <v>1013</v>
      </c>
      <c r="I425" s="42"/>
      <c r="J425" s="42"/>
    </row>
    <row r="426" spans="1:12" ht="17.399999999999999" x14ac:dyDescent="0.3">
      <c r="A426" s="14">
        <v>323</v>
      </c>
      <c r="B426" s="7" t="s">
        <v>1249</v>
      </c>
      <c r="C426" s="7" t="s">
        <v>95</v>
      </c>
      <c r="D426" s="14" t="s">
        <v>131</v>
      </c>
      <c r="E426" s="15">
        <v>160000</v>
      </c>
      <c r="H426" s="83" t="s">
        <v>1014</v>
      </c>
      <c r="I426" s="83"/>
      <c r="J426" s="83"/>
      <c r="K426" s="83"/>
    </row>
    <row r="427" spans="1:12" ht="17.399999999999999" x14ac:dyDescent="0.3">
      <c r="A427" s="14">
        <v>324</v>
      </c>
      <c r="B427" s="7" t="s">
        <v>1250</v>
      </c>
      <c r="C427" s="7" t="s">
        <v>93</v>
      </c>
      <c r="D427" s="14" t="s">
        <v>131</v>
      </c>
      <c r="E427" s="15">
        <v>160000</v>
      </c>
      <c r="H427" s="42"/>
      <c r="I427" s="30"/>
      <c r="J427" s="30"/>
    </row>
    <row r="428" spans="1:12" ht="17.399999999999999" x14ac:dyDescent="0.3">
      <c r="A428" s="14">
        <v>325</v>
      </c>
      <c r="B428" s="25" t="s">
        <v>1251</v>
      </c>
      <c r="C428" s="7" t="s">
        <v>92</v>
      </c>
      <c r="D428" s="14" t="s">
        <v>131</v>
      </c>
      <c r="E428" s="15">
        <v>160000</v>
      </c>
      <c r="H428" s="42"/>
      <c r="I428" s="30"/>
      <c r="J428" s="30"/>
    </row>
    <row r="429" spans="1:12" ht="17.399999999999999" x14ac:dyDescent="0.3">
      <c r="A429" s="14">
        <v>326</v>
      </c>
      <c r="B429" s="7" t="s">
        <v>1252</v>
      </c>
      <c r="C429" s="7" t="s">
        <v>322</v>
      </c>
      <c r="D429" s="14" t="s">
        <v>131</v>
      </c>
      <c r="E429" s="15">
        <v>160000</v>
      </c>
      <c r="H429" s="42"/>
      <c r="I429" s="30"/>
      <c r="J429" s="30"/>
    </row>
    <row r="430" spans="1:12" ht="17.399999999999999" x14ac:dyDescent="0.3">
      <c r="A430" s="14">
        <v>327</v>
      </c>
      <c r="B430" s="26" t="s">
        <v>1253</v>
      </c>
      <c r="C430" s="7" t="s">
        <v>94</v>
      </c>
      <c r="D430" s="14" t="s">
        <v>131</v>
      </c>
      <c r="E430" s="15">
        <v>160000</v>
      </c>
      <c r="H430" s="42"/>
      <c r="I430" s="30"/>
      <c r="J430" s="30"/>
    </row>
    <row r="431" spans="1:12" ht="17.399999999999999" x14ac:dyDescent="0.3">
      <c r="A431" s="14">
        <v>328</v>
      </c>
      <c r="B431" s="18" t="s">
        <v>940</v>
      </c>
      <c r="C431" s="7" t="s">
        <v>941</v>
      </c>
      <c r="D431" s="14" t="s">
        <v>131</v>
      </c>
      <c r="E431" s="15">
        <v>160000</v>
      </c>
      <c r="H431" s="42"/>
      <c r="I431" s="30"/>
      <c r="J431" s="30"/>
    </row>
    <row r="432" spans="1:12" ht="17.399999999999999" x14ac:dyDescent="0.3">
      <c r="A432" s="14"/>
      <c r="B432" s="18" t="s">
        <v>1123</v>
      </c>
      <c r="C432" s="7" t="s">
        <v>1124</v>
      </c>
      <c r="D432" s="14" t="s">
        <v>131</v>
      </c>
      <c r="E432" s="15">
        <v>170000</v>
      </c>
      <c r="H432" s="42"/>
      <c r="I432" s="30"/>
      <c r="J432" s="30"/>
    </row>
    <row r="433" spans="1:10" ht="17.399999999999999" x14ac:dyDescent="0.3">
      <c r="A433" s="14"/>
      <c r="B433" s="18" t="s">
        <v>1125</v>
      </c>
      <c r="C433" s="7" t="s">
        <v>1125</v>
      </c>
      <c r="D433" s="14" t="s">
        <v>131</v>
      </c>
      <c r="E433" s="15">
        <v>170000</v>
      </c>
      <c r="H433" s="42"/>
      <c r="I433" s="30"/>
      <c r="J433" s="30"/>
    </row>
    <row r="434" spans="1:10" x14ac:dyDescent="0.25">
      <c r="A434" s="14">
        <v>329</v>
      </c>
      <c r="B434" s="18" t="s">
        <v>942</v>
      </c>
      <c r="C434" s="7" t="s">
        <v>943</v>
      </c>
      <c r="D434" s="14" t="s">
        <v>131</v>
      </c>
      <c r="E434" s="15">
        <v>170000</v>
      </c>
    </row>
    <row r="435" spans="1:10" x14ac:dyDescent="0.25">
      <c r="A435" s="14">
        <v>330</v>
      </c>
      <c r="B435" s="18" t="s">
        <v>646</v>
      </c>
      <c r="C435" s="7" t="s">
        <v>944</v>
      </c>
      <c r="D435" s="14" t="s">
        <v>131</v>
      </c>
      <c r="E435" s="15">
        <v>170000</v>
      </c>
    </row>
    <row r="436" spans="1:10" x14ac:dyDescent="0.25">
      <c r="A436" s="14"/>
      <c r="B436" s="18" t="s">
        <v>1133</v>
      </c>
      <c r="C436" s="7" t="s">
        <v>1134</v>
      </c>
      <c r="D436" s="14" t="s">
        <v>131</v>
      </c>
      <c r="E436" s="15">
        <v>170000</v>
      </c>
    </row>
    <row r="437" spans="1:10" x14ac:dyDescent="0.25">
      <c r="A437" s="14"/>
      <c r="B437" s="18" t="s">
        <v>1135</v>
      </c>
      <c r="C437" s="7" t="s">
        <v>1136</v>
      </c>
      <c r="D437" s="14" t="s">
        <v>131</v>
      </c>
      <c r="E437" s="15">
        <v>170000</v>
      </c>
    </row>
    <row r="438" spans="1:10" x14ac:dyDescent="0.25">
      <c r="A438" s="14"/>
      <c r="B438" s="18" t="s">
        <v>1142</v>
      </c>
      <c r="C438" s="7" t="s">
        <v>1143</v>
      </c>
      <c r="D438" s="14" t="s">
        <v>131</v>
      </c>
      <c r="E438" s="15">
        <v>170000</v>
      </c>
    </row>
    <row r="439" spans="1:10" x14ac:dyDescent="0.25">
      <c r="A439" s="14"/>
      <c r="B439" s="18" t="s">
        <v>1151</v>
      </c>
      <c r="C439" s="7" t="s">
        <v>1152</v>
      </c>
      <c r="D439" s="14" t="s">
        <v>131</v>
      </c>
      <c r="E439" s="15">
        <v>170000</v>
      </c>
    </row>
    <row r="440" spans="1:10" x14ac:dyDescent="0.25">
      <c r="A440" s="14"/>
      <c r="B440" s="18" t="s">
        <v>1153</v>
      </c>
      <c r="C440" s="7" t="s">
        <v>1154</v>
      </c>
      <c r="D440" s="14" t="s">
        <v>131</v>
      </c>
      <c r="E440" s="15">
        <v>170000</v>
      </c>
    </row>
    <row r="441" spans="1:10" x14ac:dyDescent="0.25">
      <c r="A441" s="14"/>
      <c r="B441" s="18" t="s">
        <v>1205</v>
      </c>
      <c r="C441" s="7" t="s">
        <v>1206</v>
      </c>
      <c r="D441" s="14" t="s">
        <v>131</v>
      </c>
      <c r="E441" s="15">
        <v>170000</v>
      </c>
    </row>
    <row r="442" spans="1:10" x14ac:dyDescent="0.25">
      <c r="A442" s="14"/>
      <c r="B442" s="18" t="s">
        <v>1214</v>
      </c>
      <c r="C442" s="7" t="s">
        <v>1215</v>
      </c>
      <c r="D442" s="14" t="s">
        <v>131</v>
      </c>
      <c r="E442" s="15">
        <v>170000</v>
      </c>
      <c r="H442" s="1" t="s">
        <v>646</v>
      </c>
    </row>
    <row r="443" spans="1:10" x14ac:dyDescent="0.25">
      <c r="A443" s="14">
        <v>331</v>
      </c>
      <c r="B443" s="18" t="s">
        <v>719</v>
      </c>
      <c r="C443" s="7" t="s">
        <v>945</v>
      </c>
      <c r="D443" s="14" t="s">
        <v>488</v>
      </c>
      <c r="E443" s="15">
        <v>170000</v>
      </c>
    </row>
    <row r="444" spans="1:10" x14ac:dyDescent="0.25">
      <c r="A444" s="14">
        <v>332</v>
      </c>
      <c r="B444" s="18" t="s">
        <v>946</v>
      </c>
      <c r="C444" s="7" t="s">
        <v>947</v>
      </c>
      <c r="D444" s="14" t="s">
        <v>948</v>
      </c>
      <c r="E444" s="15">
        <v>170000</v>
      </c>
    </row>
    <row r="445" spans="1:10" x14ac:dyDescent="0.25">
      <c r="A445" s="14">
        <v>333</v>
      </c>
      <c r="B445" s="18" t="s">
        <v>949</v>
      </c>
      <c r="C445" s="7" t="s">
        <v>950</v>
      </c>
      <c r="D445" s="14" t="s">
        <v>948</v>
      </c>
      <c r="E445" s="15">
        <v>170000</v>
      </c>
    </row>
    <row r="446" spans="1:10" x14ac:dyDescent="0.25">
      <c r="A446" s="14">
        <v>334</v>
      </c>
      <c r="B446" s="18" t="s">
        <v>951</v>
      </c>
      <c r="C446" s="7" t="s">
        <v>952</v>
      </c>
      <c r="D446" s="14" t="s">
        <v>948</v>
      </c>
      <c r="E446" s="15">
        <v>170000</v>
      </c>
    </row>
    <row r="447" spans="1:10" x14ac:dyDescent="0.25">
      <c r="A447" s="14">
        <v>335</v>
      </c>
      <c r="B447" s="18" t="s">
        <v>953</v>
      </c>
      <c r="C447" s="7" t="s">
        <v>954</v>
      </c>
      <c r="D447" s="14" t="s">
        <v>131</v>
      </c>
      <c r="E447" s="15">
        <v>170000</v>
      </c>
    </row>
    <row r="448" spans="1:10" x14ac:dyDescent="0.25">
      <c r="A448" s="14">
        <v>336</v>
      </c>
      <c r="B448" s="18" t="s">
        <v>955</v>
      </c>
      <c r="C448" s="7" t="s">
        <v>956</v>
      </c>
      <c r="D448" s="14" t="s">
        <v>131</v>
      </c>
      <c r="E448" s="15">
        <v>170000</v>
      </c>
    </row>
    <row r="449" spans="1:5" x14ac:dyDescent="0.25">
      <c r="A449" s="14">
        <v>337</v>
      </c>
      <c r="B449" s="18" t="s">
        <v>957</v>
      </c>
      <c r="C449" s="7" t="s">
        <v>638</v>
      </c>
      <c r="D449" s="14" t="s">
        <v>131</v>
      </c>
      <c r="E449" s="15">
        <v>170000</v>
      </c>
    </row>
    <row r="450" spans="1:5" x14ac:dyDescent="0.25">
      <c r="A450" s="14">
        <v>338</v>
      </c>
      <c r="B450" s="18" t="s">
        <v>193</v>
      </c>
      <c r="C450" s="7" t="s">
        <v>194</v>
      </c>
      <c r="D450" s="14" t="s">
        <v>131</v>
      </c>
      <c r="E450" s="15">
        <v>170000</v>
      </c>
    </row>
    <row r="451" spans="1:5" x14ac:dyDescent="0.25">
      <c r="A451" s="14">
        <v>339</v>
      </c>
      <c r="B451" s="18" t="s">
        <v>187</v>
      </c>
      <c r="C451" s="7" t="s">
        <v>188</v>
      </c>
      <c r="D451" s="14" t="s">
        <v>131</v>
      </c>
      <c r="E451" s="15">
        <v>170000</v>
      </c>
    </row>
    <row r="452" spans="1:5" x14ac:dyDescent="0.25">
      <c r="A452" s="14">
        <v>340</v>
      </c>
      <c r="B452" s="18" t="s">
        <v>189</v>
      </c>
      <c r="C452" s="7" t="s">
        <v>191</v>
      </c>
      <c r="D452" s="14" t="s">
        <v>131</v>
      </c>
      <c r="E452" s="15">
        <v>170000</v>
      </c>
    </row>
    <row r="453" spans="1:5" x14ac:dyDescent="0.25">
      <c r="A453" s="14">
        <v>341</v>
      </c>
      <c r="B453" s="18" t="s">
        <v>190</v>
      </c>
      <c r="C453" s="7" t="s">
        <v>192</v>
      </c>
      <c r="D453" s="14" t="s">
        <v>131</v>
      </c>
      <c r="E453" s="15">
        <v>170000</v>
      </c>
    </row>
    <row r="454" spans="1:5" x14ac:dyDescent="0.25">
      <c r="A454" s="14">
        <v>342</v>
      </c>
      <c r="B454" s="18" t="s">
        <v>160</v>
      </c>
      <c r="C454" s="7" t="s">
        <v>161</v>
      </c>
      <c r="D454" s="14" t="s">
        <v>131</v>
      </c>
      <c r="E454" s="15">
        <v>170000</v>
      </c>
    </row>
    <row r="455" spans="1:5" x14ac:dyDescent="0.25">
      <c r="A455" s="14">
        <v>343</v>
      </c>
      <c r="B455" s="18" t="s">
        <v>144</v>
      </c>
      <c r="C455" s="7" t="s">
        <v>145</v>
      </c>
      <c r="D455" s="14" t="s">
        <v>131</v>
      </c>
      <c r="E455" s="15">
        <v>170000</v>
      </c>
    </row>
    <row r="456" spans="1:5" x14ac:dyDescent="0.25">
      <c r="A456" s="14">
        <v>344</v>
      </c>
      <c r="B456" s="18" t="s">
        <v>146</v>
      </c>
      <c r="C456" s="7" t="s">
        <v>147</v>
      </c>
      <c r="D456" s="14" t="s">
        <v>131</v>
      </c>
      <c r="E456" s="15">
        <v>170000</v>
      </c>
    </row>
    <row r="457" spans="1:5" x14ac:dyDescent="0.25">
      <c r="A457" s="14">
        <v>345</v>
      </c>
      <c r="B457" s="18" t="s">
        <v>183</v>
      </c>
      <c r="C457" s="7" t="s">
        <v>184</v>
      </c>
      <c r="D457" s="14" t="s">
        <v>131</v>
      </c>
      <c r="E457" s="15">
        <v>170000</v>
      </c>
    </row>
    <row r="458" spans="1:5" x14ac:dyDescent="0.25">
      <c r="A458" s="14">
        <v>346</v>
      </c>
      <c r="B458" s="18" t="s">
        <v>185</v>
      </c>
      <c r="C458" s="7" t="s">
        <v>186</v>
      </c>
      <c r="D458" s="14" t="s">
        <v>131</v>
      </c>
      <c r="E458" s="15">
        <v>170000</v>
      </c>
    </row>
    <row r="459" spans="1:5" x14ac:dyDescent="0.25">
      <c r="A459" s="14">
        <v>347</v>
      </c>
      <c r="B459" s="18" t="s">
        <v>158</v>
      </c>
      <c r="C459" s="7" t="s">
        <v>156</v>
      </c>
      <c r="D459" s="14" t="s">
        <v>131</v>
      </c>
      <c r="E459" s="15">
        <v>170000</v>
      </c>
    </row>
    <row r="460" spans="1:5" x14ac:dyDescent="0.25">
      <c r="A460" s="14">
        <v>348</v>
      </c>
      <c r="B460" s="18" t="s">
        <v>159</v>
      </c>
      <c r="C460" s="7" t="s">
        <v>157</v>
      </c>
      <c r="D460" s="14" t="s">
        <v>131</v>
      </c>
      <c r="E460" s="15">
        <v>170000</v>
      </c>
    </row>
    <row r="461" spans="1:5" x14ac:dyDescent="0.25">
      <c r="A461" s="14">
        <v>349</v>
      </c>
      <c r="B461" s="18" t="s">
        <v>172</v>
      </c>
      <c r="C461" s="7" t="s">
        <v>173</v>
      </c>
      <c r="D461" s="14" t="s">
        <v>174</v>
      </c>
      <c r="E461" s="15">
        <v>170000</v>
      </c>
    </row>
    <row r="462" spans="1:5" x14ac:dyDescent="0.25">
      <c r="A462" s="14">
        <v>350</v>
      </c>
      <c r="B462" s="18" t="s">
        <v>162</v>
      </c>
      <c r="C462" s="7" t="s">
        <v>163</v>
      </c>
      <c r="D462" s="14" t="s">
        <v>131</v>
      </c>
      <c r="E462" s="15">
        <v>170000</v>
      </c>
    </row>
    <row r="463" spans="1:5" x14ac:dyDescent="0.25">
      <c r="A463" s="14">
        <v>351</v>
      </c>
      <c r="B463" s="18" t="s">
        <v>232</v>
      </c>
      <c r="C463" s="7" t="s">
        <v>233</v>
      </c>
      <c r="D463" s="14" t="s">
        <v>131</v>
      </c>
      <c r="E463" s="15">
        <v>170000</v>
      </c>
    </row>
    <row r="464" spans="1:5" x14ac:dyDescent="0.25">
      <c r="A464" s="14">
        <v>352</v>
      </c>
      <c r="B464" s="18" t="s">
        <v>958</v>
      </c>
      <c r="C464" s="7" t="s">
        <v>553</v>
      </c>
      <c r="D464" s="14" t="s">
        <v>131</v>
      </c>
      <c r="E464" s="15">
        <v>170000</v>
      </c>
    </row>
    <row r="465" spans="1:5" x14ac:dyDescent="0.25">
      <c r="A465" s="14">
        <v>353</v>
      </c>
      <c r="B465" s="18" t="s">
        <v>959</v>
      </c>
      <c r="C465" s="7" t="s">
        <v>551</v>
      </c>
      <c r="D465" s="14" t="s">
        <v>131</v>
      </c>
      <c r="E465" s="15">
        <v>170000</v>
      </c>
    </row>
    <row r="466" spans="1:5" x14ac:dyDescent="0.25">
      <c r="A466" s="14">
        <v>354</v>
      </c>
      <c r="B466" s="18" t="s">
        <v>960</v>
      </c>
      <c r="C466" s="7" t="s">
        <v>552</v>
      </c>
      <c r="D466" s="14" t="s">
        <v>131</v>
      </c>
      <c r="E466" s="15">
        <v>170000</v>
      </c>
    </row>
    <row r="467" spans="1:5" x14ac:dyDescent="0.25">
      <c r="A467" s="14">
        <v>355</v>
      </c>
      <c r="B467" s="18" t="s">
        <v>351</v>
      </c>
      <c r="C467" s="7" t="str">
        <f>B467</f>
        <v>SonPha7455C</v>
      </c>
      <c r="D467" s="14" t="s">
        <v>131</v>
      </c>
      <c r="E467" s="15">
        <v>170000</v>
      </c>
    </row>
    <row r="468" spans="1:5" x14ac:dyDescent="0.25">
      <c r="A468" s="14">
        <v>356</v>
      </c>
      <c r="B468" s="18" t="s">
        <v>152</v>
      </c>
      <c r="C468" s="7" t="s">
        <v>153</v>
      </c>
      <c r="D468" s="14" t="s">
        <v>131</v>
      </c>
      <c r="E468" s="15">
        <v>800000</v>
      </c>
    </row>
    <row r="469" spans="1:5" x14ac:dyDescent="0.25">
      <c r="A469" s="14">
        <v>357</v>
      </c>
      <c r="B469" s="18" t="s">
        <v>961</v>
      </c>
      <c r="C469" s="7" t="s">
        <v>962</v>
      </c>
      <c r="D469" s="14" t="s">
        <v>131</v>
      </c>
      <c r="E469" s="15">
        <v>800000</v>
      </c>
    </row>
    <row r="470" spans="1:5" x14ac:dyDescent="0.25">
      <c r="A470" s="14">
        <v>358</v>
      </c>
      <c r="B470" s="18" t="s">
        <v>181</v>
      </c>
      <c r="C470" s="7" t="s">
        <v>182</v>
      </c>
      <c r="D470" s="14" t="s">
        <v>131</v>
      </c>
      <c r="E470" s="15">
        <v>800000</v>
      </c>
    </row>
    <row r="471" spans="1:5" x14ac:dyDescent="0.25">
      <c r="A471" s="14">
        <v>359</v>
      </c>
      <c r="B471" s="18" t="s">
        <v>213</v>
      </c>
      <c r="C471" s="7" t="s">
        <v>212</v>
      </c>
      <c r="D471" s="14" t="s">
        <v>131</v>
      </c>
      <c r="E471" s="15">
        <v>800000</v>
      </c>
    </row>
    <row r="472" spans="1:5" x14ac:dyDescent="0.25">
      <c r="A472" s="14">
        <v>360</v>
      </c>
      <c r="B472" s="18"/>
      <c r="C472" s="7" t="s">
        <v>106</v>
      </c>
      <c r="D472" s="14" t="s">
        <v>131</v>
      </c>
      <c r="E472" s="15">
        <v>600000</v>
      </c>
    </row>
    <row r="473" spans="1:5" x14ac:dyDescent="0.25">
      <c r="A473" s="14">
        <v>361</v>
      </c>
      <c r="B473" s="18" t="s">
        <v>171</v>
      </c>
      <c r="C473" s="7" t="s">
        <v>107</v>
      </c>
      <c r="D473" s="14" t="s">
        <v>131</v>
      </c>
      <c r="E473" s="15">
        <v>800000</v>
      </c>
    </row>
    <row r="474" spans="1:5" x14ac:dyDescent="0.25">
      <c r="A474" s="14">
        <v>362</v>
      </c>
      <c r="B474" s="18"/>
      <c r="C474" s="7" t="s">
        <v>108</v>
      </c>
      <c r="D474" s="14" t="s">
        <v>131</v>
      </c>
      <c r="E474" s="15">
        <v>600000</v>
      </c>
    </row>
    <row r="475" spans="1:5" x14ac:dyDescent="0.25">
      <c r="A475" s="14">
        <v>363</v>
      </c>
      <c r="B475" s="18"/>
      <c r="C475" s="7" t="s">
        <v>109</v>
      </c>
      <c r="D475" s="14" t="s">
        <v>131</v>
      </c>
      <c r="E475" s="15">
        <v>600000</v>
      </c>
    </row>
    <row r="476" spans="1:5" x14ac:dyDescent="0.25">
      <c r="A476" s="14">
        <v>364</v>
      </c>
      <c r="B476" s="18"/>
      <c r="C476" s="7" t="s">
        <v>111</v>
      </c>
      <c r="D476" s="14" t="s">
        <v>131</v>
      </c>
      <c r="E476" s="15">
        <v>600000</v>
      </c>
    </row>
    <row r="477" spans="1:5" x14ac:dyDescent="0.25">
      <c r="A477" s="14">
        <v>365</v>
      </c>
      <c r="B477" s="18"/>
      <c r="C477" s="7" t="s">
        <v>110</v>
      </c>
      <c r="D477" s="14" t="s">
        <v>131</v>
      </c>
      <c r="E477" s="15">
        <v>600000</v>
      </c>
    </row>
    <row r="478" spans="1:5" x14ac:dyDescent="0.25">
      <c r="A478" s="14">
        <v>366</v>
      </c>
      <c r="B478" s="18" t="s">
        <v>274</v>
      </c>
      <c r="C478" s="7" t="s">
        <v>275</v>
      </c>
      <c r="D478" s="14" t="s">
        <v>131</v>
      </c>
      <c r="E478" s="15">
        <v>800000</v>
      </c>
    </row>
    <row r="479" spans="1:5" x14ac:dyDescent="0.25">
      <c r="A479" s="14">
        <v>367</v>
      </c>
      <c r="B479" s="18" t="s">
        <v>125</v>
      </c>
      <c r="C479" s="7" t="s">
        <v>102</v>
      </c>
      <c r="D479" s="14" t="s">
        <v>131</v>
      </c>
      <c r="E479" s="15">
        <v>800000</v>
      </c>
    </row>
    <row r="480" spans="1:5" x14ac:dyDescent="0.25">
      <c r="A480" s="14">
        <v>368</v>
      </c>
      <c r="B480" s="18" t="s">
        <v>289</v>
      </c>
      <c r="C480" s="7" t="s">
        <v>290</v>
      </c>
      <c r="D480" s="14" t="s">
        <v>174</v>
      </c>
      <c r="E480" s="15">
        <v>800000</v>
      </c>
    </row>
    <row r="481" spans="1:5" x14ac:dyDescent="0.25">
      <c r="A481" s="14">
        <v>369</v>
      </c>
      <c r="B481" s="18" t="s">
        <v>126</v>
      </c>
      <c r="C481" s="7" t="s">
        <v>103</v>
      </c>
      <c r="D481" s="14" t="s">
        <v>131</v>
      </c>
      <c r="E481" s="15">
        <v>800000</v>
      </c>
    </row>
    <row r="482" spans="1:5" x14ac:dyDescent="0.25">
      <c r="A482" s="14">
        <v>370</v>
      </c>
      <c r="B482" s="18" t="s">
        <v>202</v>
      </c>
      <c r="C482" s="7" t="s">
        <v>203</v>
      </c>
      <c r="D482" s="14" t="s">
        <v>131</v>
      </c>
      <c r="E482" s="15">
        <v>800000</v>
      </c>
    </row>
    <row r="483" spans="1:5" x14ac:dyDescent="0.25">
      <c r="A483" s="14">
        <v>371</v>
      </c>
      <c r="B483" s="18" t="s">
        <v>467</v>
      </c>
      <c r="C483" s="7" t="s">
        <v>468</v>
      </c>
      <c r="D483" s="14" t="s">
        <v>174</v>
      </c>
      <c r="E483" s="15">
        <v>800000</v>
      </c>
    </row>
    <row r="484" spans="1:5" x14ac:dyDescent="0.25">
      <c r="A484" s="14">
        <v>372</v>
      </c>
      <c r="B484" s="18" t="s">
        <v>236</v>
      </c>
      <c r="C484" s="7" t="s">
        <v>237</v>
      </c>
      <c r="D484" s="14" t="s">
        <v>131</v>
      </c>
      <c r="E484" s="15">
        <v>800000</v>
      </c>
    </row>
    <row r="485" spans="1:5" x14ac:dyDescent="0.25">
      <c r="A485" s="14">
        <v>373</v>
      </c>
      <c r="B485" s="18" t="s">
        <v>238</v>
      </c>
      <c r="C485" s="7" t="s">
        <v>239</v>
      </c>
      <c r="D485" s="14" t="s">
        <v>174</v>
      </c>
      <c r="E485" s="15">
        <v>800000</v>
      </c>
    </row>
    <row r="486" spans="1:5" x14ac:dyDescent="0.25">
      <c r="A486" s="14">
        <v>374</v>
      </c>
      <c r="B486" s="18" t="s">
        <v>963</v>
      </c>
      <c r="C486" s="7" t="s">
        <v>964</v>
      </c>
      <c r="D486" s="14" t="s">
        <v>174</v>
      </c>
      <c r="E486" s="15">
        <v>800000</v>
      </c>
    </row>
    <row r="487" spans="1:5" x14ac:dyDescent="0.25">
      <c r="A487" s="14">
        <v>375</v>
      </c>
      <c r="B487" s="18" t="s">
        <v>204</v>
      </c>
      <c r="C487" s="7" t="s">
        <v>205</v>
      </c>
      <c r="D487" s="14" t="s">
        <v>174</v>
      </c>
      <c r="E487" s="15">
        <v>800000</v>
      </c>
    </row>
    <row r="488" spans="1:5" x14ac:dyDescent="0.25">
      <c r="A488" s="14">
        <v>376</v>
      </c>
      <c r="B488" s="18" t="s">
        <v>385</v>
      </c>
      <c r="C488" s="7" t="s">
        <v>386</v>
      </c>
      <c r="D488" s="14" t="s">
        <v>174</v>
      </c>
      <c r="E488" s="15">
        <v>800000</v>
      </c>
    </row>
    <row r="489" spans="1:5" x14ac:dyDescent="0.25">
      <c r="A489" s="14">
        <v>377</v>
      </c>
      <c r="B489" s="18" t="s">
        <v>267</v>
      </c>
      <c r="C489" s="7" t="s">
        <v>268</v>
      </c>
      <c r="D489" s="14" t="s">
        <v>131</v>
      </c>
      <c r="E489" s="15">
        <v>800000</v>
      </c>
    </row>
    <row r="490" spans="1:5" x14ac:dyDescent="0.25">
      <c r="A490" s="14">
        <v>378</v>
      </c>
      <c r="B490" s="18" t="s">
        <v>127</v>
      </c>
      <c r="C490" s="7" t="s">
        <v>104</v>
      </c>
      <c r="D490" s="14" t="s">
        <v>131</v>
      </c>
      <c r="E490" s="15">
        <v>800000</v>
      </c>
    </row>
    <row r="491" spans="1:5" x14ac:dyDescent="0.25">
      <c r="A491" s="14">
        <v>379</v>
      </c>
      <c r="B491" s="18" t="s">
        <v>965</v>
      </c>
      <c r="C491" s="7" t="s">
        <v>966</v>
      </c>
      <c r="D491" s="14" t="s">
        <v>131</v>
      </c>
      <c r="E491" s="15">
        <v>800000</v>
      </c>
    </row>
    <row r="492" spans="1:5" x14ac:dyDescent="0.25">
      <c r="A492" s="14">
        <v>380</v>
      </c>
      <c r="B492" s="18" t="s">
        <v>128</v>
      </c>
      <c r="C492" s="7" t="s">
        <v>485</v>
      </c>
      <c r="D492" s="14" t="s">
        <v>131</v>
      </c>
      <c r="E492" s="15">
        <v>800000</v>
      </c>
    </row>
    <row r="493" spans="1:5" x14ac:dyDescent="0.25">
      <c r="A493" s="14">
        <v>381</v>
      </c>
      <c r="B493" s="18" t="s">
        <v>129</v>
      </c>
      <c r="C493" s="7" t="s">
        <v>105</v>
      </c>
      <c r="D493" s="14" t="s">
        <v>131</v>
      </c>
      <c r="E493" s="15">
        <v>800000</v>
      </c>
    </row>
    <row r="494" spans="1:5" x14ac:dyDescent="0.25">
      <c r="A494" s="14">
        <v>382</v>
      </c>
      <c r="B494" s="18" t="s">
        <v>325</v>
      </c>
      <c r="C494" s="7" t="s">
        <v>326</v>
      </c>
      <c r="D494" s="14" t="s">
        <v>131</v>
      </c>
      <c r="E494" s="15">
        <v>150000</v>
      </c>
    </row>
    <row r="495" spans="1:5" x14ac:dyDescent="0.25">
      <c r="A495" s="14">
        <v>383</v>
      </c>
      <c r="B495" s="18" t="s">
        <v>240</v>
      </c>
      <c r="C495" s="7" t="s">
        <v>241</v>
      </c>
      <c r="D495" s="14" t="s">
        <v>131</v>
      </c>
      <c r="E495" s="15">
        <v>150000</v>
      </c>
    </row>
    <row r="496" spans="1:5" x14ac:dyDescent="0.25">
      <c r="A496" s="14">
        <v>384</v>
      </c>
      <c r="B496" s="18" t="s">
        <v>317</v>
      </c>
      <c r="C496" s="7" t="s">
        <v>318</v>
      </c>
      <c r="D496" s="14" t="s">
        <v>131</v>
      </c>
      <c r="E496" s="15">
        <v>150000</v>
      </c>
    </row>
    <row r="497" spans="1:5" x14ac:dyDescent="0.25">
      <c r="A497" s="14">
        <v>385</v>
      </c>
      <c r="B497" s="18" t="s">
        <v>282</v>
      </c>
      <c r="C497" s="7" t="s">
        <v>967</v>
      </c>
      <c r="D497" s="14" t="s">
        <v>131</v>
      </c>
      <c r="E497" s="15">
        <v>150000</v>
      </c>
    </row>
    <row r="498" spans="1:5" x14ac:dyDescent="0.25">
      <c r="A498" s="14">
        <v>386</v>
      </c>
      <c r="B498" s="18" t="s">
        <v>968</v>
      </c>
      <c r="C498" s="7" t="s">
        <v>969</v>
      </c>
      <c r="D498" s="14" t="s">
        <v>131</v>
      </c>
      <c r="E498" s="15">
        <v>150000</v>
      </c>
    </row>
    <row r="499" spans="1:5" x14ac:dyDescent="0.25">
      <c r="A499" s="14">
        <v>387</v>
      </c>
      <c r="B499" s="18" t="s">
        <v>970</v>
      </c>
      <c r="C499" s="7" t="s">
        <v>971</v>
      </c>
      <c r="D499" s="14" t="s">
        <v>131</v>
      </c>
      <c r="E499" s="15">
        <v>150000</v>
      </c>
    </row>
    <row r="500" spans="1:5" x14ac:dyDescent="0.25">
      <c r="A500" s="14">
        <v>388</v>
      </c>
      <c r="B500" s="18" t="s">
        <v>995</v>
      </c>
      <c r="C500" s="7" t="s">
        <v>972</v>
      </c>
      <c r="D500" s="14" t="s">
        <v>131</v>
      </c>
      <c r="E500" s="15">
        <v>150000</v>
      </c>
    </row>
    <row r="501" spans="1:5" x14ac:dyDescent="0.25">
      <c r="A501" s="14"/>
      <c r="B501" s="18" t="s">
        <v>1185</v>
      </c>
      <c r="C501" s="7" t="s">
        <v>1186</v>
      </c>
      <c r="D501" s="14" t="s">
        <v>131</v>
      </c>
      <c r="E501" s="15">
        <v>150000</v>
      </c>
    </row>
    <row r="502" spans="1:5" x14ac:dyDescent="0.25">
      <c r="A502" s="14">
        <v>389</v>
      </c>
      <c r="B502" s="18" t="s">
        <v>973</v>
      </c>
      <c r="C502" s="7" t="s">
        <v>974</v>
      </c>
      <c r="D502" s="14" t="s">
        <v>131</v>
      </c>
      <c r="E502" s="15">
        <v>150000</v>
      </c>
    </row>
    <row r="503" spans="1:5" x14ac:dyDescent="0.25">
      <c r="A503" s="14">
        <v>390</v>
      </c>
      <c r="B503" s="18" t="s">
        <v>975</v>
      </c>
      <c r="C503" s="7" t="s">
        <v>976</v>
      </c>
      <c r="D503" s="14" t="s">
        <v>131</v>
      </c>
      <c r="E503" s="15">
        <v>150000</v>
      </c>
    </row>
    <row r="504" spans="1:5" x14ac:dyDescent="0.25">
      <c r="A504" s="14">
        <v>391</v>
      </c>
      <c r="B504" s="18" t="s">
        <v>977</v>
      </c>
      <c r="C504" s="7" t="s">
        <v>978</v>
      </c>
      <c r="D504" s="14" t="s">
        <v>131</v>
      </c>
      <c r="E504" s="15">
        <v>150000</v>
      </c>
    </row>
    <row r="505" spans="1:5" x14ac:dyDescent="0.25">
      <c r="A505" s="14">
        <v>392</v>
      </c>
      <c r="B505" s="18" t="s">
        <v>979</v>
      </c>
      <c r="C505" s="7" t="s">
        <v>980</v>
      </c>
      <c r="D505" s="14" t="s">
        <v>131</v>
      </c>
      <c r="E505" s="15">
        <v>200000</v>
      </c>
    </row>
    <row r="506" spans="1:5" x14ac:dyDescent="0.25">
      <c r="A506" s="14">
        <v>393</v>
      </c>
      <c r="B506" s="18" t="s">
        <v>981</v>
      </c>
      <c r="C506" s="7" t="s">
        <v>982</v>
      </c>
      <c r="D506" s="14" t="s">
        <v>131</v>
      </c>
      <c r="E506" s="15">
        <v>200000</v>
      </c>
    </row>
    <row r="507" spans="1:5" x14ac:dyDescent="0.25">
      <c r="A507" s="14">
        <v>394</v>
      </c>
      <c r="B507" s="18" t="s">
        <v>983</v>
      </c>
      <c r="C507" s="7" t="s">
        <v>984</v>
      </c>
      <c r="D507" s="14" t="s">
        <v>131</v>
      </c>
      <c r="E507" s="15">
        <v>200000</v>
      </c>
    </row>
    <row r="508" spans="1:5" x14ac:dyDescent="0.25">
      <c r="A508" s="14">
        <v>395</v>
      </c>
      <c r="B508" s="18" t="s">
        <v>135</v>
      </c>
      <c r="C508" s="7" t="s">
        <v>134</v>
      </c>
      <c r="D508" s="14" t="s">
        <v>131</v>
      </c>
      <c r="E508" s="15">
        <v>42500</v>
      </c>
    </row>
    <row r="509" spans="1:5" x14ac:dyDescent="0.25">
      <c r="A509" s="14">
        <v>396</v>
      </c>
      <c r="B509" s="18" t="s">
        <v>605</v>
      </c>
      <c r="C509" s="7" t="s">
        <v>134</v>
      </c>
      <c r="D509" s="14" t="s">
        <v>131</v>
      </c>
      <c r="E509" s="15">
        <v>48000</v>
      </c>
    </row>
    <row r="510" spans="1:5" x14ac:dyDescent="0.25">
      <c r="A510" s="14"/>
      <c r="B510" s="18" t="s">
        <v>1241</v>
      </c>
      <c r="C510" s="7" t="s">
        <v>134</v>
      </c>
      <c r="D510" s="14" t="s">
        <v>131</v>
      </c>
      <c r="E510" s="15">
        <v>50000</v>
      </c>
    </row>
    <row r="511" spans="1:5" x14ac:dyDescent="0.25">
      <c r="A511" s="14">
        <v>397</v>
      </c>
      <c r="B511" s="18" t="s">
        <v>985</v>
      </c>
      <c r="C511" s="7" t="s">
        <v>985</v>
      </c>
      <c r="D511" s="14" t="s">
        <v>488</v>
      </c>
      <c r="E511" s="15">
        <v>5000</v>
      </c>
    </row>
    <row r="512" spans="1:5" x14ac:dyDescent="0.25">
      <c r="A512" s="14">
        <v>398</v>
      </c>
      <c r="B512" s="18" t="s">
        <v>986</v>
      </c>
      <c r="C512" s="7" t="s">
        <v>987</v>
      </c>
      <c r="D512" s="14" t="s">
        <v>131</v>
      </c>
      <c r="E512" s="15">
        <v>150000</v>
      </c>
    </row>
    <row r="513" spans="1:5" x14ac:dyDescent="0.25">
      <c r="A513" s="14">
        <v>399</v>
      </c>
      <c r="B513" s="18" t="s">
        <v>46</v>
      </c>
      <c r="C513" s="7" t="s">
        <v>988</v>
      </c>
      <c r="D513" s="14" t="s">
        <v>131</v>
      </c>
      <c r="E513" s="15">
        <v>150000</v>
      </c>
    </row>
    <row r="514" spans="1:5" x14ac:dyDescent="0.25">
      <c r="A514" s="14">
        <v>400</v>
      </c>
      <c r="B514" s="18" t="s">
        <v>1137</v>
      </c>
      <c r="C514" s="7" t="s">
        <v>1138</v>
      </c>
      <c r="D514" s="14" t="s">
        <v>131</v>
      </c>
      <c r="E514" s="15">
        <v>150000</v>
      </c>
    </row>
    <row r="515" spans="1:5" x14ac:dyDescent="0.25">
      <c r="A515" s="14">
        <v>401</v>
      </c>
      <c r="B515" s="18" t="s">
        <v>522</v>
      </c>
      <c r="C515" s="7" t="s">
        <v>523</v>
      </c>
      <c r="D515" s="14" t="s">
        <v>131</v>
      </c>
      <c r="E515" s="15">
        <v>150000</v>
      </c>
    </row>
    <row r="516" spans="1:5" x14ac:dyDescent="0.25">
      <c r="A516" s="14">
        <v>402</v>
      </c>
      <c r="B516" s="18" t="s">
        <v>513</v>
      </c>
      <c r="C516" s="7" t="s">
        <v>514</v>
      </c>
      <c r="D516" s="14" t="s">
        <v>515</v>
      </c>
      <c r="E516" s="15">
        <v>15000</v>
      </c>
    </row>
  </sheetData>
  <autoFilter ref="B2:B516" xr:uid="{00000000-0001-0000-0D00-000000000000}"/>
  <sortState xmlns:xlrd2="http://schemas.microsoft.com/office/spreadsheetml/2017/richdata2" ref="A3:E366">
    <sortCondition ref="C3:C366"/>
  </sortState>
  <mergeCells count="2">
    <mergeCell ref="H426:K426"/>
    <mergeCell ref="H395:L395"/>
  </mergeCells>
  <phoneticPr fontId="28" type="noConversion"/>
  <conditionalFormatting sqref="B380:B386">
    <cfRule type="duplicateValues" dxfId="19" priority="9"/>
  </conditionalFormatting>
  <conditionalFormatting sqref="B435:B442">
    <cfRule type="duplicateValues" dxfId="18" priority="10"/>
  </conditionalFormatting>
  <conditionalFormatting sqref="B443:B516 B76:B85 B65:B71 B387:B434 B3:B62 B88:B379">
    <cfRule type="duplicateValues" dxfId="17" priority="20"/>
  </conditionalFormatting>
  <conditionalFormatting sqref="B517:B1048576 B1:B2">
    <cfRule type="duplicateValues" dxfId="16" priority="14"/>
  </conditionalFormatting>
  <conditionalFormatting sqref="I397">
    <cfRule type="duplicateValues" dxfId="15" priority="8"/>
  </conditionalFormatting>
  <conditionalFormatting sqref="I398:I401">
    <cfRule type="duplicateValues" dxfId="14" priority="7"/>
  </conditionalFormatting>
  <conditionalFormatting sqref="I402:I413">
    <cfRule type="duplicateValues" dxfId="13" priority="2"/>
  </conditionalFormatting>
  <conditionalFormatting sqref="I414:I415">
    <cfRule type="duplicateValues" dxfId="12" priority="1"/>
  </conditionalFormatting>
  <conditionalFormatting sqref="I416:I419">
    <cfRule type="duplicateValues" dxfId="11" priority="6"/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F1EF7-A479-4184-B0E4-75AAAB113D39}">
  <dimension ref="A1:G6"/>
  <sheetViews>
    <sheetView workbookViewId="0">
      <selection activeCell="F18" sqref="F18"/>
    </sheetView>
  </sheetViews>
  <sheetFormatPr defaultRowHeight="14.4" x14ac:dyDescent="0.3"/>
  <cols>
    <col min="1" max="1" width="18.109375" customWidth="1"/>
    <col min="2" max="2" width="19.44140625" customWidth="1"/>
    <col min="3" max="3" width="19.88671875" customWidth="1"/>
    <col min="4" max="4" width="12.5546875" customWidth="1"/>
    <col min="5" max="5" width="18.6640625" customWidth="1"/>
    <col min="6" max="6" width="19.6640625" customWidth="1"/>
    <col min="7" max="7" width="21" customWidth="1"/>
  </cols>
  <sheetData>
    <row r="1" spans="1:7" s="65" customFormat="1" ht="23.4" x14ac:dyDescent="0.45">
      <c r="A1" s="85" t="s">
        <v>1075</v>
      </c>
      <c r="B1" s="85"/>
      <c r="C1" s="85"/>
      <c r="D1" s="63" t="s">
        <v>1076</v>
      </c>
      <c r="E1" s="85" t="s">
        <v>1077</v>
      </c>
      <c r="F1" s="85"/>
      <c r="G1" s="85"/>
    </row>
    <row r="2" spans="1:7" s="64" customFormat="1" ht="21" x14ac:dyDescent="0.4">
      <c r="A2" s="62" t="s">
        <v>1078</v>
      </c>
      <c r="B2" s="62" t="s">
        <v>1080</v>
      </c>
      <c r="C2" s="86" t="s">
        <v>1082</v>
      </c>
      <c r="D2" s="86" t="s">
        <v>1083</v>
      </c>
      <c r="E2" s="86" t="s">
        <v>1084</v>
      </c>
      <c r="F2" s="86" t="s">
        <v>1085</v>
      </c>
      <c r="G2" s="86" t="s">
        <v>1086</v>
      </c>
    </row>
    <row r="3" spans="1:7" s="64" customFormat="1" ht="21" x14ac:dyDescent="0.4">
      <c r="A3" s="62" t="s">
        <v>1079</v>
      </c>
      <c r="B3" s="62" t="s">
        <v>1081</v>
      </c>
      <c r="C3" s="86"/>
      <c r="D3" s="86"/>
      <c r="E3" s="86"/>
      <c r="F3" s="86"/>
      <c r="G3" s="86"/>
    </row>
    <row r="4" spans="1:7" s="64" customFormat="1" ht="97.95" customHeight="1" x14ac:dyDescent="0.4">
      <c r="A4" s="61" t="s">
        <v>1087</v>
      </c>
      <c r="B4" s="61" t="s">
        <v>1088</v>
      </c>
      <c r="C4" s="61" t="s">
        <v>1089</v>
      </c>
      <c r="D4" s="61" t="s">
        <v>1090</v>
      </c>
      <c r="E4" s="61" t="s">
        <v>1091</v>
      </c>
      <c r="F4" s="61" t="s">
        <v>1092</v>
      </c>
      <c r="G4" s="61" t="s">
        <v>1093</v>
      </c>
    </row>
    <row r="5" spans="1:7" x14ac:dyDescent="0.3">
      <c r="E5">
        <v>0.48</v>
      </c>
    </row>
    <row r="6" spans="1:7" x14ac:dyDescent="0.3">
      <c r="G6" t="s">
        <v>1098</v>
      </c>
    </row>
  </sheetData>
  <mergeCells count="7">
    <mergeCell ref="A1:C1"/>
    <mergeCell ref="E1:G1"/>
    <mergeCell ref="C2:C3"/>
    <mergeCell ref="D2:D3"/>
    <mergeCell ref="E2:E3"/>
    <mergeCell ref="F2:F3"/>
    <mergeCell ref="G2:G3"/>
  </mergeCells>
  <pageMargins left="0.24" right="0.17" top="0.74803149606299213" bottom="0.74803149606299213" header="0.31496062992125984" footer="0.31496062992125984"/>
  <pageSetup orientation="landscape" horizontalDpi="4294967295" verticalDpi="4294967295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74EBF-E714-413D-954F-66C3A2C1D710}">
  <dimension ref="A1:P11"/>
  <sheetViews>
    <sheetView workbookViewId="0">
      <selection activeCell="B1" sqref="B1"/>
    </sheetView>
  </sheetViews>
  <sheetFormatPr defaultRowHeight="14.4" x14ac:dyDescent="0.3"/>
  <cols>
    <col min="8" max="8" width="12" customWidth="1"/>
    <col min="9" max="9" width="6.109375" customWidth="1"/>
    <col min="10" max="10" width="15.88671875" customWidth="1"/>
    <col min="11" max="11" width="16.109375" customWidth="1"/>
    <col min="12" max="12" width="8.88671875" customWidth="1"/>
    <col min="13" max="13" width="15.88671875" customWidth="1"/>
    <col min="15" max="15" width="12.109375" bestFit="1" customWidth="1"/>
    <col min="16" max="16" width="18.33203125" customWidth="1"/>
  </cols>
  <sheetData>
    <row r="1" spans="1:16" s="44" customFormat="1" ht="56.4" customHeight="1" x14ac:dyDescent="0.3">
      <c r="A1" s="55" t="s">
        <v>1046</v>
      </c>
      <c r="B1" s="55"/>
      <c r="C1" s="55"/>
      <c r="D1" s="55"/>
      <c r="E1" s="55"/>
      <c r="F1" s="55"/>
      <c r="G1" s="55"/>
      <c r="H1" s="56"/>
      <c r="I1" s="56"/>
      <c r="J1" s="56"/>
      <c r="K1" s="56"/>
      <c r="L1" s="56"/>
      <c r="M1" s="58"/>
      <c r="N1" s="59"/>
      <c r="O1" s="57"/>
      <c r="P1" s="57"/>
    </row>
    <row r="2" spans="1:16" s="44" customFormat="1" ht="61.95" customHeight="1" x14ac:dyDescent="0.3">
      <c r="A2" s="55" t="s">
        <v>1045</v>
      </c>
      <c r="B2" s="55"/>
      <c r="C2" s="55"/>
      <c r="D2" s="55"/>
      <c r="E2" s="55"/>
      <c r="F2" s="55"/>
      <c r="G2" s="55"/>
      <c r="H2" s="56"/>
      <c r="I2" s="56"/>
      <c r="J2" s="56"/>
      <c r="K2" s="56"/>
      <c r="L2" s="56"/>
      <c r="M2" s="57"/>
      <c r="N2" s="57"/>
      <c r="O2" s="57"/>
      <c r="P2" s="57"/>
    </row>
    <row r="3" spans="1:16" s="44" customFormat="1" ht="86.4" customHeight="1" x14ac:dyDescent="0.3">
      <c r="A3" s="87" t="s">
        <v>1049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60"/>
      <c r="N3" s="60"/>
      <c r="O3" s="57"/>
      <c r="P3" s="60"/>
    </row>
    <row r="4" spans="1:16" s="44" customFormat="1" ht="47.4" customHeight="1" x14ac:dyDescent="0.3">
      <c r="A4" s="55" t="s">
        <v>1047</v>
      </c>
      <c r="B4" s="55"/>
      <c r="C4" s="55"/>
      <c r="D4" s="55"/>
      <c r="E4" s="55"/>
      <c r="F4" s="55"/>
      <c r="G4" s="55"/>
      <c r="H4" s="56"/>
      <c r="I4" s="56"/>
      <c r="J4" s="56"/>
      <c r="K4" s="56"/>
      <c r="L4" s="56"/>
      <c r="M4" s="57"/>
      <c r="N4" s="57"/>
      <c r="O4" s="57"/>
      <c r="P4" s="57"/>
    </row>
    <row r="5" spans="1:16" s="44" customFormat="1" ht="43.95" customHeight="1" x14ac:dyDescent="0.3">
      <c r="A5" s="55" t="s">
        <v>1048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7"/>
      <c r="N5" s="57"/>
      <c r="O5" s="57"/>
      <c r="P5" s="57"/>
    </row>
    <row r="6" spans="1:16" ht="66.599999999999994" customHeight="1" x14ac:dyDescent="0.7">
      <c r="A6" s="54"/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</row>
    <row r="7" spans="1:16" s="44" customFormat="1" ht="49.2" customHeight="1" x14ac:dyDescent="0.3">
      <c r="A7" s="55" t="s">
        <v>1046</v>
      </c>
      <c r="B7" s="55"/>
      <c r="C7" s="55"/>
      <c r="D7" s="55"/>
      <c r="E7" s="55"/>
      <c r="F7" s="55"/>
      <c r="G7" s="55"/>
      <c r="H7" s="56"/>
      <c r="I7" s="56"/>
      <c r="J7" s="56"/>
      <c r="K7" s="56"/>
      <c r="L7" s="56"/>
      <c r="M7" s="58"/>
      <c r="N7" s="59"/>
      <c r="O7" s="57"/>
      <c r="P7" s="57"/>
    </row>
    <row r="8" spans="1:16" s="44" customFormat="1" ht="44.4" customHeight="1" x14ac:dyDescent="0.3">
      <c r="A8" s="55" t="s">
        <v>1045</v>
      </c>
      <c r="B8" s="55"/>
      <c r="C8" s="55"/>
      <c r="D8" s="55"/>
      <c r="E8" s="55"/>
      <c r="F8" s="55"/>
      <c r="G8" s="55"/>
      <c r="H8" s="56"/>
      <c r="I8" s="56"/>
      <c r="J8" s="56"/>
      <c r="K8" s="56"/>
      <c r="L8" s="56"/>
      <c r="M8" s="57"/>
      <c r="N8" s="57"/>
      <c r="O8" s="57"/>
      <c r="P8" s="57"/>
    </row>
    <row r="9" spans="1:16" s="44" customFormat="1" ht="88.2" customHeight="1" x14ac:dyDescent="0.3">
      <c r="A9" s="87" t="s">
        <v>1049</v>
      </c>
      <c r="B9" s="87"/>
      <c r="C9" s="87"/>
      <c r="D9" s="87"/>
      <c r="E9" s="87"/>
      <c r="F9" s="87"/>
      <c r="G9" s="87"/>
      <c r="H9" s="87"/>
      <c r="I9" s="87"/>
      <c r="J9" s="87"/>
      <c r="K9" s="87"/>
      <c r="L9" s="87"/>
      <c r="M9" s="60"/>
      <c r="N9" s="60"/>
      <c r="O9" s="60"/>
      <c r="P9" s="60"/>
    </row>
    <row r="10" spans="1:16" s="44" customFormat="1" ht="34.950000000000003" customHeight="1" x14ac:dyDescent="0.3">
      <c r="A10" s="55" t="s">
        <v>1047</v>
      </c>
      <c r="B10" s="55"/>
      <c r="C10" s="55"/>
      <c r="D10" s="55"/>
      <c r="E10" s="55"/>
      <c r="F10" s="55"/>
      <c r="G10" s="55"/>
      <c r="H10" s="56"/>
      <c r="I10" s="56"/>
      <c r="J10" s="56"/>
      <c r="K10" s="56"/>
      <c r="L10" s="56"/>
      <c r="M10" s="57"/>
      <c r="N10" s="57"/>
      <c r="O10" s="57"/>
      <c r="P10" s="57"/>
    </row>
    <row r="11" spans="1:16" s="44" customFormat="1" ht="44.4" customHeight="1" x14ac:dyDescent="0.3">
      <c r="A11" s="55" t="s">
        <v>1048</v>
      </c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7"/>
      <c r="N11" s="57"/>
      <c r="O11" s="57"/>
      <c r="P11" s="57"/>
    </row>
  </sheetData>
  <mergeCells count="2">
    <mergeCell ref="A3:L3"/>
    <mergeCell ref="A9:L9"/>
  </mergeCells>
  <pageMargins left="0.35" right="0.23622047244094491" top="0.55000000000000004" bottom="0.15748031496062992" header="0.31496062992125984" footer="0.31496062992125984"/>
  <pageSetup orientation="portrait" horizontalDpi="4294967295" verticalDpi="4294967295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9F3E9-F3B6-4FB1-8F2F-A6952F3EDF07}">
  <dimension ref="A1"/>
  <sheetViews>
    <sheetView workbookViewId="0">
      <selection activeCell="D1" sqref="D1"/>
    </sheetView>
  </sheetViews>
  <sheetFormatPr defaultRowHeight="14.4" x14ac:dyDescent="0.3"/>
  <cols>
    <col min="1" max="1" width="115.33203125" customWidth="1"/>
  </cols>
  <sheetData>
    <row r="1" spans="1:1" ht="366.6" customHeight="1" x14ac:dyDescent="0.3">
      <c r="A1" s="69" t="s">
        <v>1224</v>
      </c>
    </row>
  </sheetData>
  <pageMargins left="0.24" right="0.24" top="0.75" bottom="0.75" header="0.3" footer="0.3"/>
  <pageSetup orientation="portrait" horizontalDpi="4294967295" verticalDpi="4294967295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J12"/>
  <sheetViews>
    <sheetView workbookViewId="0">
      <selection sqref="A1:J1"/>
    </sheetView>
  </sheetViews>
  <sheetFormatPr defaultRowHeight="14.4" x14ac:dyDescent="0.3"/>
  <cols>
    <col min="1" max="1" width="10.6640625" customWidth="1"/>
    <col min="2" max="2" width="14.44140625" customWidth="1"/>
    <col min="3" max="3" width="19.44140625" customWidth="1"/>
    <col min="4" max="4" width="28.6640625" customWidth="1"/>
    <col min="5" max="5" width="10.44140625" customWidth="1"/>
    <col min="9" max="9" width="11.88671875" customWidth="1"/>
  </cols>
  <sheetData>
    <row r="1" spans="1:10" ht="51" customHeight="1" x14ac:dyDescent="0.35">
      <c r="A1" s="88" t="s">
        <v>505</v>
      </c>
      <c r="B1" s="89"/>
      <c r="C1" s="89"/>
      <c r="D1" s="89"/>
      <c r="E1" s="89"/>
      <c r="F1" s="89"/>
      <c r="G1" s="89"/>
      <c r="H1" s="89"/>
      <c r="I1" s="89"/>
      <c r="J1" s="89"/>
    </row>
    <row r="2" spans="1:10" ht="27.6" x14ac:dyDescent="0.3">
      <c r="A2" s="23" t="s">
        <v>0</v>
      </c>
      <c r="B2" s="11" t="s">
        <v>223</v>
      </c>
      <c r="C2" s="12" t="s">
        <v>2</v>
      </c>
      <c r="D2" s="12" t="s">
        <v>3</v>
      </c>
      <c r="E2" s="12" t="s">
        <v>1</v>
      </c>
      <c r="F2" s="12" t="s">
        <v>4</v>
      </c>
      <c r="G2" s="19" t="s">
        <v>5</v>
      </c>
      <c r="H2" s="12" t="s">
        <v>133</v>
      </c>
      <c r="I2" s="12" t="s">
        <v>6</v>
      </c>
      <c r="J2" s="12" t="s">
        <v>7</v>
      </c>
    </row>
    <row r="3" spans="1:10" x14ac:dyDescent="0.3">
      <c r="A3" s="24">
        <v>42755</v>
      </c>
      <c r="B3" s="5" t="s">
        <v>39</v>
      </c>
      <c r="C3" s="18" t="s">
        <v>167</v>
      </c>
      <c r="D3" s="7" t="s">
        <v>195</v>
      </c>
      <c r="E3" s="26" t="s">
        <v>130</v>
      </c>
      <c r="F3" s="7" t="s">
        <v>131</v>
      </c>
      <c r="G3" s="26">
        <v>15</v>
      </c>
      <c r="H3" s="8">
        <v>23000</v>
      </c>
      <c r="I3" s="8">
        <v>345000</v>
      </c>
      <c r="J3" s="7"/>
    </row>
    <row r="4" spans="1:10" x14ac:dyDescent="0.3">
      <c r="A4" s="24">
        <v>42784</v>
      </c>
      <c r="B4" s="5" t="s">
        <v>39</v>
      </c>
      <c r="C4" s="18" t="s">
        <v>267</v>
      </c>
      <c r="D4" s="7" t="s">
        <v>268</v>
      </c>
      <c r="E4" s="26" t="s">
        <v>130</v>
      </c>
      <c r="F4" s="7" t="s">
        <v>131</v>
      </c>
      <c r="G4" s="26">
        <v>0.1</v>
      </c>
      <c r="H4" s="8">
        <v>800000</v>
      </c>
      <c r="I4" s="8">
        <v>80000</v>
      </c>
      <c r="J4" s="7"/>
    </row>
    <row r="5" spans="1:10" x14ac:dyDescent="0.3">
      <c r="A5" s="24">
        <v>42787</v>
      </c>
      <c r="B5" s="5" t="s">
        <v>39</v>
      </c>
      <c r="C5" s="18" t="s">
        <v>120</v>
      </c>
      <c r="D5" s="7" t="s">
        <v>121</v>
      </c>
      <c r="E5" s="26" t="s">
        <v>130</v>
      </c>
      <c r="F5" s="7" t="s">
        <v>131</v>
      </c>
      <c r="G5" s="26">
        <v>2.5</v>
      </c>
      <c r="H5" s="8">
        <v>160000</v>
      </c>
      <c r="I5" s="8">
        <v>400000</v>
      </c>
      <c r="J5" s="7"/>
    </row>
    <row r="6" spans="1:10" x14ac:dyDescent="0.3">
      <c r="A6" s="24">
        <v>42787</v>
      </c>
      <c r="B6" s="5" t="s">
        <v>39</v>
      </c>
      <c r="C6" s="18" t="s">
        <v>122</v>
      </c>
      <c r="D6" s="7" t="s">
        <v>101</v>
      </c>
      <c r="E6" s="26" t="s">
        <v>130</v>
      </c>
      <c r="F6" s="7" t="s">
        <v>131</v>
      </c>
      <c r="G6" s="26">
        <v>2</v>
      </c>
      <c r="H6" s="8">
        <v>140000</v>
      </c>
      <c r="I6" s="8">
        <v>280000</v>
      </c>
      <c r="J6" s="7"/>
    </row>
    <row r="7" spans="1:10" x14ac:dyDescent="0.3">
      <c r="A7" s="24">
        <v>42787</v>
      </c>
      <c r="B7" s="5" t="s">
        <v>39</v>
      </c>
      <c r="C7" s="18" t="s">
        <v>124</v>
      </c>
      <c r="D7" s="7" t="s">
        <v>100</v>
      </c>
      <c r="E7" s="26" t="s">
        <v>130</v>
      </c>
      <c r="F7" s="7" t="s">
        <v>131</v>
      </c>
      <c r="G7" s="26">
        <v>1</v>
      </c>
      <c r="H7" s="8">
        <v>200000</v>
      </c>
      <c r="I7" s="8">
        <v>200000</v>
      </c>
      <c r="J7" s="7"/>
    </row>
    <row r="8" spans="1:10" ht="15.6" x14ac:dyDescent="0.3">
      <c r="A8" s="90" t="s">
        <v>324</v>
      </c>
      <c r="B8" s="91"/>
      <c r="C8" s="28"/>
      <c r="D8" s="28"/>
      <c r="E8" s="28"/>
      <c r="F8" s="28"/>
      <c r="G8" s="28"/>
      <c r="H8" s="28"/>
      <c r="I8" s="31">
        <f>SUM(I3:I7)</f>
        <v>1305000</v>
      </c>
      <c r="J8" s="28"/>
    </row>
    <row r="9" spans="1:10" ht="15.6" x14ac:dyDescent="0.3">
      <c r="A9" s="29"/>
      <c r="B9" s="29"/>
      <c r="C9" s="29"/>
      <c r="D9" s="29"/>
      <c r="E9" s="29"/>
      <c r="F9" s="29"/>
      <c r="G9" s="29"/>
      <c r="H9" s="32" t="s">
        <v>512</v>
      </c>
      <c r="I9" s="36">
        <f>I8</f>
        <v>1305000</v>
      </c>
      <c r="J9" s="29"/>
    </row>
    <row r="10" spans="1:10" ht="15.6" x14ac:dyDescent="0.3">
      <c r="A10" s="29"/>
      <c r="B10" s="29"/>
      <c r="C10" s="29"/>
      <c r="D10" s="29"/>
      <c r="E10" s="92" t="s">
        <v>511</v>
      </c>
      <c r="F10" s="92"/>
      <c r="G10" s="92"/>
      <c r="H10" s="92"/>
      <c r="I10" s="34">
        <f>I8-I9</f>
        <v>0</v>
      </c>
      <c r="J10" s="29"/>
    </row>
    <row r="11" spans="1:10" ht="15.6" x14ac:dyDescent="0.3">
      <c r="A11" s="29"/>
      <c r="B11" s="29"/>
      <c r="C11" s="29"/>
      <c r="D11" s="29"/>
      <c r="E11" s="29"/>
      <c r="F11" s="29"/>
      <c r="G11" s="29"/>
      <c r="H11" s="29"/>
      <c r="I11" s="29"/>
      <c r="J11" s="29"/>
    </row>
    <row r="12" spans="1:10" ht="15.6" x14ac:dyDescent="0.3">
      <c r="A12" s="93" t="s">
        <v>349</v>
      </c>
      <c r="B12" s="93"/>
      <c r="C12" s="93"/>
      <c r="D12" s="35"/>
      <c r="E12" s="93" t="s">
        <v>350</v>
      </c>
      <c r="F12" s="93"/>
      <c r="G12" s="93"/>
      <c r="H12" s="93"/>
      <c r="I12" s="29"/>
      <c r="J12" s="29"/>
    </row>
  </sheetData>
  <mergeCells count="5">
    <mergeCell ref="A1:J1"/>
    <mergeCell ref="A8:B8"/>
    <mergeCell ref="E10:H10"/>
    <mergeCell ref="A12:C12"/>
    <mergeCell ref="E12:H12"/>
  </mergeCells>
  <pageMargins left="0.27" right="0.16" top="0.75" bottom="0.75" header="0.3" footer="0.3"/>
  <pageSetup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J26"/>
  <sheetViews>
    <sheetView workbookViewId="0">
      <selection sqref="A1:J1"/>
    </sheetView>
  </sheetViews>
  <sheetFormatPr defaultRowHeight="14.4" x14ac:dyDescent="0.3"/>
  <cols>
    <col min="1" max="1" width="12.33203125" customWidth="1"/>
    <col min="2" max="2" width="12.5546875" customWidth="1"/>
    <col min="3" max="3" width="19.5546875" customWidth="1"/>
    <col min="4" max="4" width="30.33203125" customWidth="1"/>
    <col min="5" max="5" width="13.109375" customWidth="1"/>
    <col min="6" max="6" width="8.109375" customWidth="1"/>
    <col min="7" max="7" width="7" customWidth="1"/>
    <col min="9" max="9" width="13.5546875" customWidth="1"/>
  </cols>
  <sheetData>
    <row r="1" spans="1:10" ht="42" customHeight="1" x14ac:dyDescent="0.35">
      <c r="A1" s="88" t="s">
        <v>505</v>
      </c>
      <c r="B1" s="89"/>
      <c r="C1" s="89"/>
      <c r="D1" s="89"/>
      <c r="E1" s="89"/>
      <c r="F1" s="89"/>
      <c r="G1" s="89"/>
      <c r="H1" s="89"/>
      <c r="I1" s="89"/>
      <c r="J1" s="89"/>
    </row>
    <row r="2" spans="1:10" ht="52.5" customHeight="1" x14ac:dyDescent="0.3">
      <c r="A2" s="23" t="s">
        <v>0</v>
      </c>
      <c r="B2" s="11" t="s">
        <v>223</v>
      </c>
      <c r="C2" s="12" t="s">
        <v>2</v>
      </c>
      <c r="D2" s="12" t="s">
        <v>3</v>
      </c>
      <c r="E2" s="12" t="s">
        <v>1</v>
      </c>
      <c r="F2" s="12" t="s">
        <v>4</v>
      </c>
      <c r="G2" s="19" t="s">
        <v>5</v>
      </c>
      <c r="H2" s="12" t="s">
        <v>133</v>
      </c>
      <c r="I2" s="12" t="s">
        <v>6</v>
      </c>
      <c r="J2" s="12" t="s">
        <v>7</v>
      </c>
    </row>
    <row r="3" spans="1:10" ht="16.5" customHeight="1" x14ac:dyDescent="0.3">
      <c r="A3" s="24">
        <v>42853</v>
      </c>
      <c r="B3" s="5" t="s">
        <v>39</v>
      </c>
      <c r="C3" s="18" t="s">
        <v>123</v>
      </c>
      <c r="D3" s="7" t="str">
        <f>IFERROR(VLOOKUP(C3,khoson,2,0),"")</f>
        <v/>
      </c>
      <c r="E3" s="26" t="s">
        <v>130</v>
      </c>
      <c r="F3" s="7" t="str">
        <f>IFERROR(VLOOKUP(C3,khoson,3,0),"")</f>
        <v/>
      </c>
      <c r="G3" s="26">
        <v>1</v>
      </c>
      <c r="H3" s="8">
        <v>140000</v>
      </c>
      <c r="I3" s="8">
        <f>IFERROR(G3*H3,0)</f>
        <v>140000</v>
      </c>
      <c r="J3" s="7"/>
    </row>
    <row r="4" spans="1:10" x14ac:dyDescent="0.3">
      <c r="A4" s="24">
        <v>42858</v>
      </c>
      <c r="B4" s="5" t="s">
        <v>39</v>
      </c>
      <c r="C4" s="18" t="s">
        <v>115</v>
      </c>
      <c r="D4" s="7" t="s">
        <v>91</v>
      </c>
      <c r="E4" s="26" t="s">
        <v>130</v>
      </c>
      <c r="F4" s="7" t="s">
        <v>131</v>
      </c>
      <c r="G4" s="26">
        <v>0.5</v>
      </c>
      <c r="H4" s="8">
        <v>120000</v>
      </c>
      <c r="I4" s="8">
        <v>60000</v>
      </c>
      <c r="J4" s="7"/>
    </row>
    <row r="5" spans="1:10" x14ac:dyDescent="0.3">
      <c r="A5" s="24">
        <v>42858</v>
      </c>
      <c r="B5" s="5" t="s">
        <v>39</v>
      </c>
      <c r="C5" s="18" t="s">
        <v>118</v>
      </c>
      <c r="D5" s="7" t="s">
        <v>136</v>
      </c>
      <c r="E5" s="26" t="s">
        <v>130</v>
      </c>
      <c r="F5" s="7" t="s">
        <v>131</v>
      </c>
      <c r="G5" s="26">
        <v>20</v>
      </c>
      <c r="H5" s="8">
        <v>160000</v>
      </c>
      <c r="I5" s="8">
        <v>3200000</v>
      </c>
      <c r="J5" s="7"/>
    </row>
    <row r="6" spans="1:10" x14ac:dyDescent="0.3">
      <c r="A6" s="24">
        <v>42858</v>
      </c>
      <c r="B6" s="5" t="s">
        <v>39</v>
      </c>
      <c r="C6" s="18" t="s">
        <v>119</v>
      </c>
      <c r="D6" s="7" t="s">
        <v>99</v>
      </c>
      <c r="E6" s="26" t="s">
        <v>130</v>
      </c>
      <c r="F6" s="7" t="s">
        <v>131</v>
      </c>
      <c r="G6" s="26">
        <v>10</v>
      </c>
      <c r="H6" s="8">
        <v>140000</v>
      </c>
      <c r="I6" s="8">
        <v>1400000</v>
      </c>
      <c r="J6" s="7"/>
    </row>
    <row r="7" spans="1:10" x14ac:dyDescent="0.3">
      <c r="A7" s="24">
        <v>42861</v>
      </c>
      <c r="B7" s="5" t="s">
        <v>39</v>
      </c>
      <c r="C7" s="18" t="s">
        <v>172</v>
      </c>
      <c r="D7" s="7" t="s">
        <v>173</v>
      </c>
      <c r="E7" s="26" t="s">
        <v>130</v>
      </c>
      <c r="F7" s="7" t="s">
        <v>174</v>
      </c>
      <c r="G7" s="26">
        <v>3</v>
      </c>
      <c r="H7" s="8">
        <v>150000</v>
      </c>
      <c r="I7" s="8">
        <v>450000</v>
      </c>
      <c r="J7" s="7"/>
    </row>
    <row r="8" spans="1:10" x14ac:dyDescent="0.3">
      <c r="A8" s="24">
        <v>42861</v>
      </c>
      <c r="B8" s="5" t="s">
        <v>39</v>
      </c>
      <c r="C8" s="18" t="s">
        <v>333</v>
      </c>
      <c r="D8" s="7" t="s">
        <v>333</v>
      </c>
      <c r="E8" s="26" t="s">
        <v>130</v>
      </c>
      <c r="F8" s="7" t="s">
        <v>131</v>
      </c>
      <c r="G8" s="26">
        <v>2.8</v>
      </c>
      <c r="H8" s="8">
        <v>150000</v>
      </c>
      <c r="I8" s="8">
        <v>420000</v>
      </c>
      <c r="J8" s="7"/>
    </row>
    <row r="9" spans="1:10" x14ac:dyDescent="0.3">
      <c r="A9" s="24">
        <v>42861</v>
      </c>
      <c r="B9" s="5" t="s">
        <v>39</v>
      </c>
      <c r="C9" s="18" t="s">
        <v>240</v>
      </c>
      <c r="D9" s="7" t="s">
        <v>241</v>
      </c>
      <c r="E9" s="26" t="s">
        <v>130</v>
      </c>
      <c r="F9" s="7" t="s">
        <v>131</v>
      </c>
      <c r="G9" s="26">
        <v>3</v>
      </c>
      <c r="H9" s="8">
        <v>150000</v>
      </c>
      <c r="I9" s="8">
        <v>450000</v>
      </c>
      <c r="J9" s="7"/>
    </row>
    <row r="10" spans="1:10" x14ac:dyDescent="0.3">
      <c r="A10" s="24">
        <v>42861</v>
      </c>
      <c r="B10" s="5" t="s">
        <v>39</v>
      </c>
      <c r="C10" s="18" t="s">
        <v>309</v>
      </c>
      <c r="D10" s="7" t="s">
        <v>310</v>
      </c>
      <c r="E10" s="26" t="s">
        <v>130</v>
      </c>
      <c r="F10" s="7" t="s">
        <v>131</v>
      </c>
      <c r="G10" s="26">
        <v>3</v>
      </c>
      <c r="H10" s="8">
        <v>150000</v>
      </c>
      <c r="I10" s="8">
        <v>450000</v>
      </c>
      <c r="J10" s="7"/>
    </row>
    <row r="11" spans="1:10" x14ac:dyDescent="0.3">
      <c r="A11" s="24">
        <v>42861</v>
      </c>
      <c r="B11" s="5" t="s">
        <v>39</v>
      </c>
      <c r="C11" s="18" t="s">
        <v>409</v>
      </c>
      <c r="D11" s="7" t="s">
        <v>410</v>
      </c>
      <c r="E11" s="26" t="s">
        <v>130</v>
      </c>
      <c r="F11" s="7" t="s">
        <v>131</v>
      </c>
      <c r="G11" s="26">
        <v>4</v>
      </c>
      <c r="H11" s="8">
        <v>150000</v>
      </c>
      <c r="I11" s="8">
        <v>600000</v>
      </c>
      <c r="J11" s="7"/>
    </row>
    <row r="12" spans="1:10" x14ac:dyDescent="0.3">
      <c r="A12" s="24">
        <v>42861</v>
      </c>
      <c r="B12" s="5" t="s">
        <v>39</v>
      </c>
      <c r="C12" s="18" t="s">
        <v>494</v>
      </c>
      <c r="D12" s="7" t="s">
        <v>493</v>
      </c>
      <c r="E12" s="26" t="s">
        <v>130</v>
      </c>
      <c r="F12" s="7" t="s">
        <v>131</v>
      </c>
      <c r="G12" s="26">
        <v>4</v>
      </c>
      <c r="H12" s="8">
        <v>150000</v>
      </c>
      <c r="I12" s="8">
        <v>600000</v>
      </c>
      <c r="J12" s="7"/>
    </row>
    <row r="13" spans="1:10" x14ac:dyDescent="0.3">
      <c r="A13" s="24">
        <v>42861</v>
      </c>
      <c r="B13" s="5" t="s">
        <v>39</v>
      </c>
      <c r="C13" s="18" t="s">
        <v>497</v>
      </c>
      <c r="D13" s="7" t="s">
        <v>498</v>
      </c>
      <c r="E13" s="26" t="s">
        <v>130</v>
      </c>
      <c r="F13" s="7" t="s">
        <v>131</v>
      </c>
      <c r="G13" s="26">
        <v>4</v>
      </c>
      <c r="H13" s="8">
        <v>150000</v>
      </c>
      <c r="I13" s="8">
        <v>600000</v>
      </c>
      <c r="J13" s="7"/>
    </row>
    <row r="14" spans="1:10" x14ac:dyDescent="0.3">
      <c r="A14" s="24">
        <v>42861</v>
      </c>
      <c r="B14" s="5" t="s">
        <v>39</v>
      </c>
      <c r="C14" s="18" t="s">
        <v>124</v>
      </c>
      <c r="D14" s="7" t="s">
        <v>100</v>
      </c>
      <c r="E14" s="26" t="s">
        <v>130</v>
      </c>
      <c r="F14" s="7" t="s">
        <v>131</v>
      </c>
      <c r="G14" s="26">
        <v>3</v>
      </c>
      <c r="H14" s="8">
        <v>200000</v>
      </c>
      <c r="I14" s="8">
        <v>600000</v>
      </c>
      <c r="J14" s="7"/>
    </row>
    <row r="15" spans="1:10" x14ac:dyDescent="0.3">
      <c r="A15" s="24">
        <v>42861</v>
      </c>
      <c r="B15" s="5" t="s">
        <v>39</v>
      </c>
      <c r="C15" s="18" t="s">
        <v>117</v>
      </c>
      <c r="D15" s="7" t="s">
        <v>98</v>
      </c>
      <c r="E15" s="26" t="s">
        <v>130</v>
      </c>
      <c r="F15" s="7" t="s">
        <v>131</v>
      </c>
      <c r="G15" s="26">
        <v>10</v>
      </c>
      <c r="H15" s="8">
        <v>120000</v>
      </c>
      <c r="I15" s="8">
        <v>1200000</v>
      </c>
      <c r="J15" s="7"/>
    </row>
    <row r="16" spans="1:10" x14ac:dyDescent="0.3">
      <c r="A16" s="24">
        <v>42861</v>
      </c>
      <c r="B16" s="5" t="s">
        <v>39</v>
      </c>
      <c r="C16" s="18" t="s">
        <v>141</v>
      </c>
      <c r="D16" s="7" t="s">
        <v>142</v>
      </c>
      <c r="E16" s="26" t="s">
        <v>130</v>
      </c>
      <c r="F16" s="7" t="s">
        <v>143</v>
      </c>
      <c r="G16" s="26">
        <v>7</v>
      </c>
      <c r="H16" s="8">
        <v>12000</v>
      </c>
      <c r="I16" s="8">
        <v>84000</v>
      </c>
      <c r="J16" s="7"/>
    </row>
    <row r="17" spans="1:10" x14ac:dyDescent="0.3">
      <c r="A17" s="24">
        <v>42866</v>
      </c>
      <c r="B17" s="5" t="s">
        <v>39</v>
      </c>
      <c r="C17" s="18" t="s">
        <v>524</v>
      </c>
      <c r="D17" s="7" t="s">
        <v>525</v>
      </c>
      <c r="E17" s="26" t="s">
        <v>130</v>
      </c>
      <c r="F17" s="7" t="s">
        <v>131</v>
      </c>
      <c r="G17" s="26">
        <v>5</v>
      </c>
      <c r="H17" s="8">
        <v>150000</v>
      </c>
      <c r="I17" s="8">
        <v>750000</v>
      </c>
      <c r="J17" s="7"/>
    </row>
    <row r="18" spans="1:10" x14ac:dyDescent="0.3">
      <c r="A18" s="24">
        <v>42866</v>
      </c>
      <c r="B18" s="5" t="s">
        <v>39</v>
      </c>
      <c r="C18" s="18" t="s">
        <v>141</v>
      </c>
      <c r="D18" s="7" t="s">
        <v>142</v>
      </c>
      <c r="E18" s="26" t="s">
        <v>130</v>
      </c>
      <c r="F18" s="7" t="s">
        <v>143</v>
      </c>
      <c r="G18" s="26">
        <v>1</v>
      </c>
      <c r="H18" s="8">
        <v>12000</v>
      </c>
      <c r="I18" s="8">
        <v>12000</v>
      </c>
      <c r="J18" s="7"/>
    </row>
    <row r="19" spans="1:10" x14ac:dyDescent="0.3">
      <c r="A19" s="24">
        <v>42866</v>
      </c>
      <c r="B19" s="5" t="s">
        <v>39</v>
      </c>
      <c r="C19" s="18" t="s">
        <v>155</v>
      </c>
      <c r="D19" s="7" t="s">
        <v>154</v>
      </c>
      <c r="E19" s="26" t="s">
        <v>130</v>
      </c>
      <c r="F19" s="7" t="s">
        <v>143</v>
      </c>
      <c r="G19" s="26">
        <v>1</v>
      </c>
      <c r="H19" s="8">
        <v>10000</v>
      </c>
      <c r="I19" s="8">
        <v>10000</v>
      </c>
      <c r="J19" s="7"/>
    </row>
    <row r="20" spans="1:10" x14ac:dyDescent="0.3">
      <c r="A20" s="24">
        <v>42868</v>
      </c>
      <c r="B20" s="5" t="s">
        <v>39</v>
      </c>
      <c r="C20" s="18" t="s">
        <v>242</v>
      </c>
      <c r="D20" s="7" t="s">
        <v>243</v>
      </c>
      <c r="E20" s="26" t="s">
        <v>130</v>
      </c>
      <c r="F20" s="7" t="s">
        <v>131</v>
      </c>
      <c r="G20" s="26">
        <v>2</v>
      </c>
      <c r="H20" s="8">
        <v>150000</v>
      </c>
      <c r="I20" s="8">
        <v>300000</v>
      </c>
      <c r="J20" s="7"/>
    </row>
    <row r="21" spans="1:10" x14ac:dyDescent="0.3">
      <c r="A21" s="24">
        <v>42868</v>
      </c>
      <c r="B21" s="5" t="s">
        <v>39</v>
      </c>
      <c r="C21" s="18" t="s">
        <v>495</v>
      </c>
      <c r="D21" s="7" t="s">
        <v>496</v>
      </c>
      <c r="E21" s="26" t="s">
        <v>130</v>
      </c>
      <c r="F21" s="7" t="s">
        <v>131</v>
      </c>
      <c r="G21" s="26">
        <v>3</v>
      </c>
      <c r="H21" s="8">
        <v>150000</v>
      </c>
      <c r="I21" s="8">
        <v>450000</v>
      </c>
      <c r="J21" s="7"/>
    </row>
    <row r="22" spans="1:10" x14ac:dyDescent="0.3">
      <c r="A22" s="24">
        <v>42868</v>
      </c>
      <c r="B22" s="5" t="s">
        <v>39</v>
      </c>
      <c r="C22" s="18" t="s">
        <v>116</v>
      </c>
      <c r="D22" s="7" t="s">
        <v>322</v>
      </c>
      <c r="E22" s="26" t="s">
        <v>130</v>
      </c>
      <c r="F22" s="7" t="s">
        <v>131</v>
      </c>
      <c r="G22" s="26">
        <v>1</v>
      </c>
      <c r="H22" s="8">
        <v>140000</v>
      </c>
      <c r="I22" s="8">
        <v>140000</v>
      </c>
      <c r="J22" s="7"/>
    </row>
    <row r="23" spans="1:10" x14ac:dyDescent="0.3">
      <c r="A23" s="24">
        <v>42870</v>
      </c>
      <c r="B23" s="5" t="s">
        <v>39</v>
      </c>
      <c r="C23" s="18" t="s">
        <v>117</v>
      </c>
      <c r="D23" s="7" t="s">
        <v>98</v>
      </c>
      <c r="E23" s="26" t="s">
        <v>130</v>
      </c>
      <c r="F23" s="7" t="s">
        <v>131</v>
      </c>
      <c r="G23" s="26">
        <v>10</v>
      </c>
      <c r="H23" s="8">
        <v>120000</v>
      </c>
      <c r="I23" s="8">
        <v>1200000</v>
      </c>
      <c r="J23" s="7"/>
    </row>
    <row r="24" spans="1:10" ht="15.6" x14ac:dyDescent="0.3">
      <c r="A24" s="37" t="s">
        <v>324</v>
      </c>
      <c r="B24" s="40"/>
      <c r="C24" s="28"/>
      <c r="D24" s="28"/>
      <c r="E24" s="28"/>
      <c r="F24" s="28"/>
      <c r="G24" s="28"/>
      <c r="H24" s="28"/>
      <c r="I24" s="31">
        <f>SUM(I3:I23)</f>
        <v>13116000</v>
      </c>
      <c r="J24" s="28"/>
    </row>
    <row r="25" spans="1:10" ht="15.6" x14ac:dyDescent="0.3">
      <c r="E25" s="92" t="s">
        <v>526</v>
      </c>
      <c r="F25" s="92"/>
      <c r="G25" s="92"/>
      <c r="H25" s="92"/>
      <c r="I25" s="33">
        <v>5000000</v>
      </c>
    </row>
    <row r="26" spans="1:10" ht="15.6" x14ac:dyDescent="0.3">
      <c r="E26" s="92" t="s">
        <v>527</v>
      </c>
      <c r="F26" s="92"/>
      <c r="G26" s="92"/>
      <c r="H26" s="92"/>
      <c r="I26" s="27">
        <f>I24-I25</f>
        <v>8116000</v>
      </c>
    </row>
  </sheetData>
  <mergeCells count="3">
    <mergeCell ref="E26:H26"/>
    <mergeCell ref="A1:J1"/>
    <mergeCell ref="E25:H25"/>
  </mergeCells>
  <conditionalFormatting sqref="C7">
    <cfRule type="duplicateValues" dxfId="10" priority="11"/>
  </conditionalFormatting>
  <conditionalFormatting sqref="C8">
    <cfRule type="duplicateValues" dxfId="9" priority="10"/>
  </conditionalFormatting>
  <conditionalFormatting sqref="C9">
    <cfRule type="duplicateValues" dxfId="8" priority="9"/>
  </conditionalFormatting>
  <conditionalFormatting sqref="C10">
    <cfRule type="duplicateValues" dxfId="7" priority="8"/>
  </conditionalFormatting>
  <conditionalFormatting sqref="C11">
    <cfRule type="duplicateValues" dxfId="6" priority="7"/>
  </conditionalFormatting>
  <conditionalFormatting sqref="C12">
    <cfRule type="duplicateValues" dxfId="5" priority="6"/>
  </conditionalFormatting>
  <conditionalFormatting sqref="C13">
    <cfRule type="duplicateValues" dxfId="4" priority="5"/>
  </conditionalFormatting>
  <conditionalFormatting sqref="C17">
    <cfRule type="duplicateValues" dxfId="3" priority="4"/>
  </conditionalFormatting>
  <conditionalFormatting sqref="C20">
    <cfRule type="duplicateValues" dxfId="2" priority="3"/>
  </conditionalFormatting>
  <conditionalFormatting sqref="C21">
    <cfRule type="duplicateValues" dxfId="1" priority="2"/>
  </conditionalFormatting>
  <conditionalFormatting sqref="C22">
    <cfRule type="duplicateValues" dxfId="0" priority="1"/>
  </conditionalFormatting>
  <pageMargins left="0.26" right="0.16" top="0.53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52CC5-E835-4200-A700-DFC82F3322BC}">
  <dimension ref="A1:P11"/>
  <sheetViews>
    <sheetView topLeftCell="A7" workbookViewId="0">
      <selection activeCell="H21" sqref="H21"/>
    </sheetView>
  </sheetViews>
  <sheetFormatPr defaultRowHeight="14.4" x14ac:dyDescent="0.3"/>
  <cols>
    <col min="8" max="8" width="12" customWidth="1"/>
    <col min="9" max="9" width="6.109375" customWidth="1"/>
    <col min="10" max="10" width="15.88671875" customWidth="1"/>
    <col min="11" max="11" width="16.109375" customWidth="1"/>
    <col min="12" max="12" width="8.88671875" customWidth="1"/>
    <col min="13" max="13" width="15.88671875" customWidth="1"/>
    <col min="16" max="16" width="18.33203125" customWidth="1"/>
  </cols>
  <sheetData>
    <row r="1" spans="1:16" s="44" customFormat="1" ht="56.4" customHeight="1" x14ac:dyDescent="0.3">
      <c r="A1" s="55" t="s">
        <v>1058</v>
      </c>
      <c r="B1" s="55"/>
      <c r="C1" s="55"/>
      <c r="D1" s="55"/>
      <c r="E1" s="55"/>
      <c r="F1" s="55"/>
      <c r="G1" s="55"/>
      <c r="H1" s="56"/>
      <c r="I1" s="56"/>
      <c r="J1" s="56"/>
      <c r="K1" s="56"/>
      <c r="L1" s="56"/>
      <c r="M1" s="58"/>
      <c r="N1" s="59"/>
      <c r="O1" s="57"/>
      <c r="P1" s="57"/>
    </row>
    <row r="2" spans="1:16" s="44" customFormat="1" ht="61.95" customHeight="1" x14ac:dyDescent="0.3">
      <c r="A2" s="55" t="s">
        <v>1062</v>
      </c>
      <c r="B2" s="55"/>
      <c r="C2" s="55"/>
      <c r="D2" s="55"/>
      <c r="E2" s="55"/>
      <c r="F2" s="55"/>
      <c r="G2" s="55"/>
      <c r="H2" s="56"/>
      <c r="I2" s="56"/>
      <c r="J2" s="56"/>
      <c r="K2" s="56"/>
      <c r="L2" s="56"/>
      <c r="M2" s="57"/>
      <c r="N2" s="57"/>
      <c r="O2" s="57"/>
      <c r="P2" s="57"/>
    </row>
    <row r="3" spans="1:16" s="44" customFormat="1" ht="86.4" customHeight="1" x14ac:dyDescent="0.3">
      <c r="A3" s="87" t="s">
        <v>1061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60"/>
      <c r="N3" s="60"/>
      <c r="O3" s="60"/>
      <c r="P3" s="60"/>
    </row>
    <row r="4" spans="1:16" s="44" customFormat="1" ht="47.4" customHeight="1" x14ac:dyDescent="0.3">
      <c r="A4" s="55" t="s">
        <v>1059</v>
      </c>
      <c r="B4" s="55"/>
      <c r="C4" s="55"/>
      <c r="D4" s="55"/>
      <c r="E4" s="55"/>
      <c r="F4" s="55"/>
      <c r="G4" s="55"/>
      <c r="H4" s="56"/>
      <c r="I4" s="56"/>
      <c r="J4" s="56"/>
      <c r="K4" s="56"/>
      <c r="L4" s="56"/>
      <c r="M4" s="57"/>
      <c r="N4" s="57"/>
      <c r="O4" s="57"/>
      <c r="P4" s="57"/>
    </row>
    <row r="5" spans="1:16" s="44" customFormat="1" ht="43.95" customHeight="1" x14ac:dyDescent="0.3">
      <c r="A5" s="55" t="s">
        <v>1060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7"/>
      <c r="N5" s="57"/>
      <c r="O5" s="57"/>
      <c r="P5" s="57"/>
    </row>
    <row r="6" spans="1:16" ht="66.599999999999994" customHeight="1" x14ac:dyDescent="0.7">
      <c r="A6" s="54"/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</row>
    <row r="7" spans="1:16" s="44" customFormat="1" ht="49.2" customHeight="1" x14ac:dyDescent="0.3">
      <c r="A7" s="55" t="s">
        <v>1058</v>
      </c>
      <c r="B7" s="55"/>
      <c r="C7" s="55"/>
      <c r="D7" s="55"/>
      <c r="E7" s="55"/>
      <c r="F7" s="55"/>
      <c r="G7" s="55"/>
      <c r="H7" s="56"/>
      <c r="I7" s="56"/>
      <c r="J7" s="56"/>
      <c r="K7" s="56"/>
      <c r="L7" s="56"/>
      <c r="M7" s="58"/>
      <c r="N7" s="59"/>
      <c r="O7" s="57"/>
      <c r="P7" s="57"/>
    </row>
    <row r="8" spans="1:16" s="44" customFormat="1" ht="44.4" customHeight="1" x14ac:dyDescent="0.3">
      <c r="A8" s="55" t="s">
        <v>1062</v>
      </c>
      <c r="B8" s="55"/>
      <c r="C8" s="55"/>
      <c r="D8" s="55"/>
      <c r="E8" s="55"/>
      <c r="F8" s="55"/>
      <c r="G8" s="55"/>
      <c r="H8" s="56"/>
      <c r="I8" s="56"/>
      <c r="J8" s="56"/>
      <c r="K8" s="56"/>
      <c r="L8" s="56"/>
      <c r="M8" s="57"/>
      <c r="N8" s="57"/>
      <c r="O8" s="57"/>
      <c r="P8" s="57"/>
    </row>
    <row r="9" spans="1:16" s="44" customFormat="1" ht="88.2" customHeight="1" x14ac:dyDescent="0.3">
      <c r="A9" s="87" t="s">
        <v>1061</v>
      </c>
      <c r="B9" s="87"/>
      <c r="C9" s="87"/>
      <c r="D9" s="87"/>
      <c r="E9" s="87"/>
      <c r="F9" s="87"/>
      <c r="G9" s="87"/>
      <c r="H9" s="87"/>
      <c r="I9" s="87"/>
      <c r="J9" s="87"/>
      <c r="K9" s="87"/>
      <c r="L9" s="87"/>
      <c r="M9" s="60"/>
      <c r="N9" s="60"/>
      <c r="O9" s="60"/>
      <c r="P9" s="60"/>
    </row>
    <row r="10" spans="1:16" s="44" customFormat="1" ht="34.950000000000003" customHeight="1" x14ac:dyDescent="0.3">
      <c r="A10" s="55" t="s">
        <v>1059</v>
      </c>
      <c r="B10" s="55"/>
      <c r="C10" s="55"/>
      <c r="D10" s="55"/>
      <c r="E10" s="55"/>
      <c r="F10" s="55"/>
      <c r="G10" s="55"/>
      <c r="H10" s="56"/>
      <c r="I10" s="56"/>
      <c r="J10" s="56"/>
      <c r="K10" s="56"/>
      <c r="L10" s="56"/>
      <c r="M10" s="57"/>
      <c r="N10" s="57"/>
      <c r="O10" s="57"/>
      <c r="P10" s="57"/>
    </row>
    <row r="11" spans="1:16" s="44" customFormat="1" ht="44.4" customHeight="1" x14ac:dyDescent="0.3">
      <c r="A11" s="55" t="s">
        <v>1060</v>
      </c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7"/>
      <c r="N11" s="57"/>
      <c r="O11" s="57"/>
      <c r="P11" s="57"/>
    </row>
  </sheetData>
  <mergeCells count="2">
    <mergeCell ref="A3:L3"/>
    <mergeCell ref="A9:L9"/>
  </mergeCells>
  <pageMargins left="0.35" right="0.23622047244094491" top="0.55000000000000004" bottom="0.15748031496062992" header="0.31496062992125984" footer="0.31496062992125984"/>
  <pageSetup orientation="portrait" horizontalDpi="4294967295" verticalDpi="4294967295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37FBF-6BF5-48B0-BED7-3105788341C3}">
  <dimension ref="A1:P11"/>
  <sheetViews>
    <sheetView zoomScaleNormal="100" workbookViewId="0">
      <selection sqref="A1:L5"/>
    </sheetView>
  </sheetViews>
  <sheetFormatPr defaultRowHeight="14.4" x14ac:dyDescent="0.3"/>
  <cols>
    <col min="8" max="8" width="12" customWidth="1"/>
    <col min="9" max="9" width="23.5546875" customWidth="1"/>
    <col min="10" max="10" width="36.6640625" customWidth="1"/>
    <col min="11" max="11" width="16.109375" customWidth="1"/>
    <col min="12" max="12" width="8.88671875" customWidth="1"/>
    <col min="13" max="13" width="15.88671875" customWidth="1"/>
    <col min="15" max="15" width="12.109375" bestFit="1" customWidth="1"/>
    <col min="16" max="16" width="18.33203125" customWidth="1"/>
  </cols>
  <sheetData>
    <row r="1" spans="1:16" s="44" customFormat="1" ht="45" customHeight="1" x14ac:dyDescent="0.3">
      <c r="A1" s="55" t="s">
        <v>1128</v>
      </c>
      <c r="B1" s="55"/>
      <c r="C1" s="55"/>
      <c r="D1" s="55"/>
      <c r="E1" s="55"/>
      <c r="F1" s="55"/>
      <c r="G1" s="55"/>
      <c r="H1" s="56"/>
      <c r="I1" s="56"/>
      <c r="J1" s="56"/>
      <c r="K1" s="56"/>
      <c r="L1" s="56"/>
      <c r="M1" s="58"/>
      <c r="N1" s="59"/>
      <c r="O1" s="57"/>
      <c r="P1" s="57"/>
    </row>
    <row r="2" spans="1:16" s="44" customFormat="1" ht="53.4" customHeight="1" x14ac:dyDescent="0.3">
      <c r="A2" s="55" t="s">
        <v>1131</v>
      </c>
      <c r="B2" s="55"/>
      <c r="C2" s="55"/>
      <c r="D2" s="55"/>
      <c r="E2" s="55"/>
      <c r="F2" s="55"/>
      <c r="G2" s="55"/>
      <c r="H2" s="56"/>
      <c r="I2" s="56"/>
      <c r="J2" s="56"/>
      <c r="K2" s="56"/>
      <c r="L2" s="56"/>
      <c r="M2" s="57"/>
      <c r="N2" s="57"/>
      <c r="O2" s="57"/>
      <c r="P2" s="57"/>
    </row>
    <row r="3" spans="1:16" s="44" customFormat="1" ht="65.400000000000006" customHeight="1" x14ac:dyDescent="0.3">
      <c r="A3" s="87" t="s">
        <v>1289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60"/>
      <c r="N3" s="60"/>
      <c r="O3" s="57"/>
      <c r="P3" s="60"/>
    </row>
    <row r="4" spans="1:16" s="44" customFormat="1" ht="49.2" customHeight="1" x14ac:dyDescent="0.3">
      <c r="A4" s="55" t="s">
        <v>1129</v>
      </c>
      <c r="B4" s="55"/>
      <c r="C4" s="55"/>
      <c r="D4" s="55"/>
      <c r="E4" s="55"/>
      <c r="F4" s="55"/>
      <c r="G4" s="55"/>
      <c r="H4" s="56"/>
      <c r="I4" s="56"/>
      <c r="J4" s="56"/>
      <c r="K4" s="56"/>
      <c r="L4" s="56"/>
      <c r="M4" s="57"/>
      <c r="N4" s="57"/>
      <c r="O4" s="57"/>
      <c r="P4" s="57"/>
    </row>
    <row r="5" spans="1:16" s="44" customFormat="1" ht="47.4" customHeight="1" x14ac:dyDescent="0.3">
      <c r="A5" s="55" t="s">
        <v>1130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7"/>
      <c r="N5" s="57"/>
      <c r="O5" s="57"/>
      <c r="P5" s="57"/>
    </row>
    <row r="6" spans="1:16" ht="39" customHeight="1" x14ac:dyDescent="0.7">
      <c r="A6" s="54"/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</row>
    <row r="7" spans="1:16" s="44" customFormat="1" ht="45.6" customHeight="1" x14ac:dyDescent="0.3">
      <c r="A7" s="55" t="s">
        <v>1128</v>
      </c>
      <c r="B7" s="55"/>
      <c r="C7" s="55"/>
      <c r="D7" s="55"/>
      <c r="E7" s="55"/>
      <c r="F7" s="55"/>
      <c r="G7" s="55"/>
      <c r="H7" s="56"/>
      <c r="I7" s="56"/>
      <c r="J7" s="56"/>
      <c r="K7" s="56"/>
      <c r="L7" s="56"/>
      <c r="M7" s="58"/>
      <c r="N7" s="59"/>
      <c r="O7" s="57"/>
      <c r="P7" s="57"/>
    </row>
    <row r="8" spans="1:16" s="44" customFormat="1" ht="46.95" customHeight="1" x14ac:dyDescent="0.3">
      <c r="A8" s="55" t="s">
        <v>1131</v>
      </c>
      <c r="B8" s="55"/>
      <c r="C8" s="55"/>
      <c r="D8" s="55"/>
      <c r="E8" s="55"/>
      <c r="F8" s="55"/>
      <c r="G8" s="55"/>
      <c r="H8" s="56"/>
      <c r="I8" s="56"/>
      <c r="J8" s="56"/>
      <c r="K8" s="56"/>
      <c r="L8" s="56"/>
      <c r="M8" s="57"/>
      <c r="N8" s="57"/>
      <c r="O8" s="57"/>
      <c r="P8" s="57"/>
    </row>
    <row r="9" spans="1:16" s="44" customFormat="1" ht="81" customHeight="1" x14ac:dyDescent="0.3">
      <c r="A9" s="87" t="s">
        <v>1132</v>
      </c>
      <c r="B9" s="87"/>
      <c r="C9" s="87"/>
      <c r="D9" s="87"/>
      <c r="E9" s="87"/>
      <c r="F9" s="87"/>
      <c r="G9" s="87"/>
      <c r="H9" s="87"/>
      <c r="I9" s="87"/>
      <c r="J9" s="87"/>
      <c r="K9" s="87"/>
      <c r="L9" s="87"/>
      <c r="M9" s="60"/>
      <c r="N9" s="60"/>
      <c r="O9" s="60"/>
      <c r="P9" s="60"/>
    </row>
    <row r="10" spans="1:16" s="44" customFormat="1" ht="43.2" customHeight="1" x14ac:dyDescent="0.3">
      <c r="A10" s="55" t="s">
        <v>1129</v>
      </c>
      <c r="B10" s="55"/>
      <c r="C10" s="55"/>
      <c r="D10" s="55"/>
      <c r="E10" s="55"/>
      <c r="F10" s="55"/>
      <c r="G10" s="55"/>
      <c r="H10" s="56"/>
      <c r="I10" s="56"/>
      <c r="J10" s="56"/>
      <c r="K10" s="56"/>
      <c r="L10" s="56"/>
      <c r="M10" s="57"/>
      <c r="N10" s="57"/>
      <c r="O10" s="57"/>
      <c r="P10" s="57"/>
    </row>
    <row r="11" spans="1:16" s="44" customFormat="1" ht="47.4" customHeight="1" x14ac:dyDescent="0.3">
      <c r="A11" s="55" t="s">
        <v>1130</v>
      </c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7"/>
      <c r="N11" s="57"/>
      <c r="O11" s="57"/>
      <c r="P11" s="57"/>
    </row>
  </sheetData>
  <mergeCells count="2">
    <mergeCell ref="A3:L3"/>
    <mergeCell ref="A9:L9"/>
  </mergeCells>
  <pageMargins left="0.35433070866141736" right="0.23622047244094491" top="0.31" bottom="0.15748031496062992" header="0.31496062992125984" footer="0.31496062992125984"/>
  <pageSetup scale="95" orientation="landscape" horizontalDpi="4294967295" verticalDpi="4294967295" r:id="rId1"/>
  <colBreaks count="1" manualBreakCount="1">
    <brk id="10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24281-18A4-4CC9-A6DD-58FB201FB9AD}">
  <dimension ref="A1:P11"/>
  <sheetViews>
    <sheetView topLeftCell="A5" zoomScaleNormal="100" workbookViewId="0">
      <selection activeCell="J11" sqref="J11"/>
    </sheetView>
  </sheetViews>
  <sheetFormatPr defaultRowHeight="14.4" x14ac:dyDescent="0.3"/>
  <cols>
    <col min="8" max="8" width="12" customWidth="1"/>
    <col min="9" max="9" width="28.33203125" customWidth="1"/>
    <col min="10" max="10" width="28.5546875" customWidth="1"/>
    <col min="11" max="11" width="16.109375" customWidth="1"/>
    <col min="12" max="12" width="8.88671875" customWidth="1"/>
    <col min="13" max="13" width="15.88671875" customWidth="1"/>
    <col min="15" max="15" width="12.109375" bestFit="1" customWidth="1"/>
    <col min="16" max="16" width="18.33203125" customWidth="1"/>
  </cols>
  <sheetData>
    <row r="1" spans="1:16" s="44" customFormat="1" ht="56.4" customHeight="1" x14ac:dyDescent="0.3">
      <c r="A1" s="71" t="s">
        <v>1262</v>
      </c>
      <c r="B1" s="71"/>
      <c r="C1" s="71"/>
      <c r="D1" s="71"/>
      <c r="E1" s="71"/>
      <c r="F1" s="71"/>
      <c r="G1" s="71"/>
      <c r="H1" s="72"/>
      <c r="I1" s="72"/>
      <c r="J1" s="72"/>
      <c r="K1" s="72"/>
      <c r="L1" s="72"/>
      <c r="M1" s="58"/>
      <c r="N1" s="59"/>
      <c r="O1" s="57"/>
      <c r="P1" s="57"/>
    </row>
    <row r="2" spans="1:16" s="44" customFormat="1" ht="43.95" customHeight="1" x14ac:dyDescent="0.3">
      <c r="A2" s="71" t="s">
        <v>1263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57"/>
      <c r="N2" s="57"/>
      <c r="O2" s="57"/>
      <c r="P2" s="57"/>
    </row>
    <row r="3" spans="1:16" s="44" customFormat="1" ht="100.8" customHeight="1" x14ac:dyDescent="0.3">
      <c r="A3" s="94" t="s">
        <v>1266</v>
      </c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60"/>
      <c r="N3" s="60"/>
      <c r="O3" s="57"/>
      <c r="P3" s="60"/>
    </row>
    <row r="4" spans="1:16" s="44" customFormat="1" ht="43.95" customHeight="1" x14ac:dyDescent="0.3">
      <c r="A4" s="71" t="s">
        <v>1264</v>
      </c>
      <c r="B4" s="71"/>
      <c r="C4" s="71"/>
      <c r="D4" s="71"/>
      <c r="E4" s="71"/>
      <c r="F4" s="71"/>
      <c r="G4" s="71"/>
      <c r="H4" s="72"/>
      <c r="I4" s="72"/>
      <c r="J4" s="72"/>
      <c r="K4" s="72"/>
      <c r="L4" s="72"/>
      <c r="M4" s="57"/>
      <c r="N4" s="57"/>
      <c r="O4" s="57"/>
      <c r="P4" s="57"/>
    </row>
    <row r="5" spans="1:16" s="44" customFormat="1" ht="43.95" customHeight="1" x14ac:dyDescent="0.3">
      <c r="A5" s="71" t="s">
        <v>1265</v>
      </c>
      <c r="B5" s="71"/>
      <c r="C5" s="71"/>
      <c r="D5" s="71"/>
      <c r="E5" s="71"/>
      <c r="F5" s="71"/>
      <c r="G5" s="71"/>
      <c r="H5" s="72"/>
      <c r="I5" s="72"/>
      <c r="J5" s="72"/>
      <c r="K5" s="72"/>
      <c r="L5" s="72"/>
      <c r="M5" s="57"/>
      <c r="N5" s="57"/>
      <c r="O5" s="57"/>
      <c r="P5" s="57"/>
    </row>
    <row r="6" spans="1:16" ht="28.2" customHeight="1" x14ac:dyDescent="0.95">
      <c r="A6" s="73"/>
      <c r="B6" s="73"/>
      <c r="C6" s="73"/>
      <c r="D6" s="73"/>
      <c r="E6" s="73"/>
      <c r="F6" s="73"/>
      <c r="G6" s="73"/>
      <c r="H6" s="73"/>
      <c r="I6" s="73"/>
      <c r="J6" s="73"/>
      <c r="K6" s="73"/>
      <c r="L6" s="73"/>
    </row>
    <row r="7" spans="1:16" ht="53.4" customHeight="1" x14ac:dyDescent="0.3">
      <c r="A7" s="71" t="s">
        <v>1262</v>
      </c>
      <c r="B7" s="71"/>
      <c r="C7" s="71"/>
      <c r="D7" s="71"/>
      <c r="E7" s="71"/>
      <c r="F7" s="71"/>
      <c r="G7" s="71"/>
      <c r="H7" s="72"/>
      <c r="I7" s="72"/>
      <c r="J7" s="72"/>
      <c r="K7" s="72"/>
      <c r="L7" s="72"/>
    </row>
    <row r="8" spans="1:16" ht="53.4" customHeight="1" x14ac:dyDescent="0.3">
      <c r="A8" s="71" t="s">
        <v>1263</v>
      </c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</row>
    <row r="9" spans="1:16" ht="100.8" customHeight="1" x14ac:dyDescent="0.3">
      <c r="A9" s="94" t="s">
        <v>1266</v>
      </c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</row>
    <row r="10" spans="1:16" ht="53.4" customHeight="1" x14ac:dyDescent="0.3">
      <c r="A10" s="71" t="s">
        <v>1264</v>
      </c>
      <c r="B10" s="71"/>
      <c r="C10" s="71"/>
      <c r="D10" s="71"/>
      <c r="E10" s="71"/>
      <c r="F10" s="71"/>
      <c r="G10" s="71"/>
      <c r="H10" s="72"/>
      <c r="I10" s="72"/>
      <c r="J10" s="72"/>
      <c r="K10" s="72"/>
      <c r="L10" s="72"/>
    </row>
    <row r="11" spans="1:16" ht="53.4" customHeight="1" x14ac:dyDescent="0.3">
      <c r="A11" s="71" t="s">
        <v>1265</v>
      </c>
      <c r="B11" s="71"/>
      <c r="C11" s="71"/>
      <c r="D11" s="71"/>
      <c r="E11" s="71"/>
      <c r="F11" s="71"/>
      <c r="G11" s="71"/>
      <c r="H11" s="72"/>
      <c r="I11" s="72"/>
      <c r="J11" s="72"/>
      <c r="K11" s="72"/>
      <c r="L11" s="72"/>
    </row>
  </sheetData>
  <mergeCells count="2">
    <mergeCell ref="A3:L3"/>
    <mergeCell ref="A9:L9"/>
  </mergeCells>
  <pageMargins left="0.42" right="0.23622047244094491" top="0.55118110236220474" bottom="0.15748031496062992" header="0.31496062992125984" footer="0.31496062992125984"/>
  <pageSetup scale="82" orientation="portrait" verticalDpi="4294967295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181A7-45D8-47B6-8B0E-3E459B821FA0}">
  <dimension ref="A1:P11"/>
  <sheetViews>
    <sheetView topLeftCell="A5" zoomScaleNormal="100" workbookViewId="0">
      <selection activeCell="J8" sqref="J8"/>
    </sheetView>
  </sheetViews>
  <sheetFormatPr defaultRowHeight="14.4" x14ac:dyDescent="0.3"/>
  <cols>
    <col min="8" max="8" width="12" customWidth="1"/>
    <col min="9" max="9" width="30.109375" customWidth="1"/>
    <col min="10" max="10" width="28.5546875" customWidth="1"/>
    <col min="11" max="11" width="16.109375" customWidth="1"/>
    <col min="12" max="12" width="8.88671875" customWidth="1"/>
    <col min="13" max="13" width="15.88671875" customWidth="1"/>
    <col min="15" max="15" width="12.109375" bestFit="1" customWidth="1"/>
    <col min="16" max="16" width="18.33203125" customWidth="1"/>
  </cols>
  <sheetData>
    <row r="1" spans="1:16" s="44" customFormat="1" ht="47.4" customHeight="1" x14ac:dyDescent="0.3">
      <c r="A1" s="55" t="s">
        <v>1275</v>
      </c>
      <c r="B1" s="55"/>
      <c r="C1" s="55"/>
      <c r="D1" s="55"/>
      <c r="E1" s="55"/>
      <c r="F1" s="55"/>
      <c r="G1" s="55"/>
      <c r="H1" s="56"/>
      <c r="I1" s="56"/>
      <c r="J1" s="56"/>
      <c r="K1" s="56"/>
      <c r="L1" s="56"/>
      <c r="M1" s="57"/>
      <c r="N1" s="57"/>
      <c r="O1" s="57"/>
      <c r="P1" s="57"/>
    </row>
    <row r="2" spans="1:16" s="44" customFormat="1" ht="92.4" customHeight="1" x14ac:dyDescent="0.3">
      <c r="A2" s="87" t="s">
        <v>1274</v>
      </c>
      <c r="B2" s="87"/>
      <c r="C2" s="87"/>
      <c r="D2" s="87"/>
      <c r="E2" s="87"/>
      <c r="F2" s="87"/>
      <c r="G2" s="87"/>
      <c r="H2" s="87"/>
      <c r="I2" s="87"/>
      <c r="J2" s="56"/>
      <c r="K2" s="56"/>
      <c r="L2" s="56"/>
      <c r="M2" s="57"/>
      <c r="N2" s="57"/>
      <c r="O2" s="57"/>
      <c r="P2" s="57"/>
    </row>
    <row r="3" spans="1:16" s="44" customFormat="1" ht="37.799999999999997" customHeight="1" x14ac:dyDescent="0.3">
      <c r="A3" s="55" t="s">
        <v>1277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7"/>
      <c r="N3" s="57"/>
      <c r="O3" s="57"/>
      <c r="P3" s="57"/>
    </row>
    <row r="4" spans="1:16" s="44" customFormat="1" ht="39" customHeight="1" x14ac:dyDescent="0.3">
      <c r="A4" s="55" t="s">
        <v>1276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7"/>
      <c r="N4" s="57"/>
      <c r="O4" s="57"/>
      <c r="P4" s="57"/>
    </row>
    <row r="5" spans="1:16" s="44" customFormat="1" ht="45" customHeight="1" x14ac:dyDescent="0.3">
      <c r="A5" s="55" t="s">
        <v>1130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7"/>
      <c r="N5" s="57"/>
      <c r="O5" s="57"/>
      <c r="P5" s="57"/>
    </row>
    <row r="6" spans="1:16" ht="41.4" customHeight="1" x14ac:dyDescent="0.7">
      <c r="A6" s="54"/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</row>
    <row r="7" spans="1:16" ht="53.4" customHeight="1" x14ac:dyDescent="0.3">
      <c r="A7" s="55" t="s">
        <v>1275</v>
      </c>
      <c r="B7" s="55"/>
      <c r="C7" s="55"/>
      <c r="D7" s="55"/>
      <c r="E7" s="55"/>
      <c r="F7" s="55"/>
      <c r="G7" s="55"/>
      <c r="H7" s="56"/>
      <c r="I7" s="56"/>
    </row>
    <row r="8" spans="1:16" ht="78" customHeight="1" x14ac:dyDescent="0.3">
      <c r="A8" s="87" t="s">
        <v>1274</v>
      </c>
      <c r="B8" s="87"/>
      <c r="C8" s="87"/>
      <c r="D8" s="87"/>
      <c r="E8" s="87"/>
      <c r="F8" s="87"/>
      <c r="G8" s="87"/>
      <c r="H8" s="87"/>
      <c r="I8" s="87"/>
    </row>
    <row r="9" spans="1:16" ht="43.2" customHeight="1" x14ac:dyDescent="0.3">
      <c r="A9" s="55" t="s">
        <v>1277</v>
      </c>
      <c r="B9" s="56"/>
      <c r="C9" s="56"/>
      <c r="D9" s="56"/>
      <c r="E9" s="56"/>
      <c r="F9" s="56"/>
      <c r="G9" s="56"/>
      <c r="H9" s="56"/>
      <c r="I9" s="56"/>
    </row>
    <row r="10" spans="1:16" ht="43.2" customHeight="1" x14ac:dyDescent="0.3">
      <c r="A10" s="55" t="s">
        <v>1276</v>
      </c>
      <c r="B10" s="56"/>
      <c r="C10" s="56"/>
      <c r="D10" s="56"/>
      <c r="E10" s="56"/>
      <c r="F10" s="56"/>
      <c r="G10" s="56"/>
      <c r="H10" s="56"/>
      <c r="I10" s="56"/>
    </row>
    <row r="11" spans="1:16" ht="43.2" customHeight="1" x14ac:dyDescent="0.3">
      <c r="A11" s="55" t="s">
        <v>1130</v>
      </c>
      <c r="B11" s="56"/>
      <c r="C11" s="56"/>
      <c r="D11" s="56"/>
      <c r="E11" s="56"/>
      <c r="F11" s="56"/>
      <c r="G11" s="56"/>
      <c r="H11" s="56"/>
      <c r="I11" s="56"/>
    </row>
  </sheetData>
  <mergeCells count="2">
    <mergeCell ref="A2:I2"/>
    <mergeCell ref="A8:I8"/>
  </mergeCells>
  <pageMargins left="0.35433070866141736" right="0.23622047244094491" top="0.55118110236220474" bottom="0.15748031496062992" header="0.31496062992125984" footer="0.31496062992125984"/>
  <pageSetup scale="80" orientation="landscape" horizontalDpi="4294967295" verticalDpi="4294967295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8D1E7-5001-4843-9CEA-1D9D0B1EA51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13</vt:i4>
      </vt:variant>
    </vt:vector>
  </HeadingPairs>
  <TitlesOfParts>
    <vt:vector size="34" baseType="lpstr">
      <vt:lpstr>HOADONMAU (2)</vt:lpstr>
      <vt:lpstr>HOADONMAU</vt:lpstr>
      <vt:lpstr>C.vank3</vt:lpstr>
      <vt:lpstr>C.Thanh (2)</vt:lpstr>
      <vt:lpstr>C.Quag</vt:lpstr>
      <vt:lpstr>C.Quag (2)</vt:lpstr>
      <vt:lpstr>A.Tuấn1</vt:lpstr>
      <vt:lpstr>A.Tuấn1 (2)</vt:lpstr>
      <vt:lpstr>A.Mạnh</vt:lpstr>
      <vt:lpstr>MaNhaCungCap</vt:lpstr>
      <vt:lpstr>KhoSon</vt:lpstr>
      <vt:lpstr>mm</vt:lpstr>
      <vt:lpstr>Sheet5</vt:lpstr>
      <vt:lpstr>Aerobic</vt:lpstr>
      <vt:lpstr>Xuyen0303</vt:lpstr>
      <vt:lpstr>Xuyen1905</vt:lpstr>
      <vt:lpstr>Sheet5 (2)</vt:lpstr>
      <vt:lpstr>Home</vt:lpstr>
      <vt:lpstr>Sheet5 (8)</vt:lpstr>
      <vt:lpstr>Sheet5 (7)</vt:lpstr>
      <vt:lpstr>Sheet1</vt:lpstr>
      <vt:lpstr>khoson</vt:lpstr>
      <vt:lpstr>MaNhaCungCap</vt:lpstr>
      <vt:lpstr>A.Mạnh!Print_Area</vt:lpstr>
      <vt:lpstr>A.Tuấn1!Print_Area</vt:lpstr>
      <vt:lpstr>'A.Tuấn1 (2)'!Print_Area</vt:lpstr>
      <vt:lpstr>C.Quag!Print_Area</vt:lpstr>
      <vt:lpstr>'C.Quag (2)'!Print_Area</vt:lpstr>
      <vt:lpstr>'C.Thanh (2)'!Print_Area</vt:lpstr>
      <vt:lpstr>C.vank3!Print_Area</vt:lpstr>
      <vt:lpstr>HOADONMAU!Print_Area</vt:lpstr>
      <vt:lpstr>'HOADONMAU (2)'!Print_Area</vt:lpstr>
      <vt:lpstr>Home!Print_Area</vt:lpstr>
      <vt:lpstr>'Sheet5 (8)'!Print_Area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Yen Nguyen</cp:lastModifiedBy>
  <cp:lastPrinted>2026-09-08T08:48:07Z</cp:lastPrinted>
  <dcterms:created xsi:type="dcterms:W3CDTF">2015-04-16T06:11:57Z</dcterms:created>
  <dcterms:modified xsi:type="dcterms:W3CDTF">2026-09-08T10:00:11Z</dcterms:modified>
</cp:coreProperties>
</file>